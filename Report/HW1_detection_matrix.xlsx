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muhan\OneDrive\Desktop\Me\University\Courses\Senior-year\Term-261\Swe439\Project\SWE439HW\"/>
    </mc:Choice>
  </mc:AlternateContent>
  <xr:revisionPtr revIDLastSave="0" documentId="13_ncr:1_{5FC36658-1C47-4129-9C83-F98A540D5D54}" xr6:coauthVersionLast="47" xr6:coauthVersionMax="47" xr10:uidLastSave="{00000000-0000-0000-0000-000000000000}"/>
  <bookViews>
    <workbookView xWindow="-108" yWindow="-108" windowWidth="23256" windowHeight="13176" tabRatio="500" activeTab="4" xr2:uid="{00000000-000D-0000-FFFF-FFFF00000000}"/>
  </bookViews>
  <sheets>
    <sheet name="Matrix" sheetId="1" r:id="rId1"/>
    <sheet name="Table1" sheetId="2" r:id="rId2"/>
    <sheet name="Table2" sheetId="3" r:id="rId3"/>
    <sheet name="Explanations" sheetId="4" r:id="rId4"/>
    <sheet name="Rules &amp; flags" sheetId="5" r:id="rId5"/>
  </sheets>
  <definedNames>
    <definedName name="_xlnm._FilterDatabase" localSheetId="0" hidden="1">Matrix!$A$1:$M$46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12" i="4" l="1"/>
  <c r="H11" i="4"/>
  <c r="H10" i="4"/>
  <c r="H9" i="4"/>
  <c r="H8" i="4"/>
  <c r="H7" i="4"/>
  <c r="H6" i="4"/>
  <c r="H5" i="4"/>
  <c r="H4" i="4"/>
  <c r="H3" i="4"/>
  <c r="H2" i="4"/>
  <c r="H7" i="3"/>
  <c r="H6" i="3"/>
  <c r="E6" i="3"/>
  <c r="D6" i="3"/>
  <c r="C6" i="3"/>
  <c r="F6" i="3" s="1"/>
  <c r="G6" i="3" s="1"/>
  <c r="H5" i="3"/>
  <c r="E5" i="3"/>
  <c r="D5" i="3"/>
  <c r="C5" i="3"/>
  <c r="F5" i="3" s="1"/>
  <c r="G5" i="3" s="1"/>
  <c r="H4" i="3"/>
  <c r="H3" i="3"/>
  <c r="E3" i="3"/>
  <c r="D3" i="3"/>
  <c r="C3" i="3"/>
  <c r="F3" i="3" s="1"/>
  <c r="G3" i="3" s="1"/>
  <c r="H2" i="3"/>
  <c r="E2" i="3"/>
  <c r="D2" i="3"/>
  <c r="C2" i="3"/>
  <c r="F2" i="3" s="1"/>
  <c r="G2" i="3" s="1"/>
  <c r="E7" i="2"/>
  <c r="D7" i="2"/>
  <c r="G7" i="2" s="1"/>
  <c r="C7" i="2"/>
  <c r="E6" i="2"/>
  <c r="D6" i="2"/>
  <c r="G6" i="2" s="1"/>
  <c r="C6" i="2"/>
  <c r="E5" i="2"/>
  <c r="F5" i="2" s="1"/>
  <c r="D5" i="2"/>
  <c r="C5" i="2"/>
  <c r="E4" i="2"/>
  <c r="D4" i="2"/>
  <c r="G4" i="2" s="1"/>
  <c r="C4" i="2"/>
  <c r="E3" i="2"/>
  <c r="D3" i="2"/>
  <c r="C3" i="2"/>
  <c r="E2" i="2"/>
  <c r="D2" i="2"/>
  <c r="G2" i="2" s="1"/>
  <c r="C2" i="2"/>
  <c r="L46" i="1"/>
  <c r="K46" i="1"/>
  <c r="L45" i="1"/>
  <c r="K45" i="1"/>
  <c r="L44" i="1"/>
  <c r="K44" i="1"/>
  <c r="L43" i="1"/>
  <c r="K43" i="1"/>
  <c r="L42" i="1"/>
  <c r="K42" i="1"/>
  <c r="L41" i="1"/>
  <c r="K41" i="1"/>
  <c r="L40" i="1"/>
  <c r="K40" i="1"/>
  <c r="L39" i="1"/>
  <c r="K39" i="1"/>
  <c r="L38" i="1"/>
  <c r="K38" i="1"/>
  <c r="L37" i="1"/>
  <c r="K37" i="1"/>
  <c r="L36" i="1"/>
  <c r="K36" i="1"/>
  <c r="L35" i="1"/>
  <c r="K35" i="1"/>
  <c r="L34" i="1"/>
  <c r="K34" i="1"/>
  <c r="L33" i="1"/>
  <c r="K33" i="1"/>
  <c r="L32" i="1"/>
  <c r="K32" i="1"/>
  <c r="L31" i="1"/>
  <c r="K31" i="1"/>
  <c r="L30" i="1"/>
  <c r="K30" i="1"/>
  <c r="L29" i="1"/>
  <c r="K29" i="1"/>
  <c r="L28" i="1"/>
  <c r="K28" i="1"/>
  <c r="L27" i="1"/>
  <c r="K27" i="1"/>
  <c r="L26" i="1"/>
  <c r="K26" i="1"/>
  <c r="L25" i="1"/>
  <c r="K25" i="1"/>
  <c r="L24" i="1"/>
  <c r="K24" i="1"/>
  <c r="L23" i="1"/>
  <c r="K23" i="1"/>
  <c r="L22" i="1"/>
  <c r="K22" i="1"/>
  <c r="L21" i="1"/>
  <c r="K21" i="1"/>
  <c r="L20" i="1"/>
  <c r="K20" i="1"/>
  <c r="L19" i="1"/>
  <c r="K19" i="1"/>
  <c r="L18" i="1"/>
  <c r="K18" i="1"/>
  <c r="L17" i="1"/>
  <c r="K17" i="1"/>
  <c r="L16" i="1"/>
  <c r="K16" i="1"/>
  <c r="L15" i="1"/>
  <c r="K15" i="1"/>
  <c r="L14" i="1"/>
  <c r="K14" i="1"/>
  <c r="L13" i="1"/>
  <c r="K13" i="1"/>
  <c r="L12" i="1"/>
  <c r="K12" i="1"/>
  <c r="L11" i="1"/>
  <c r="K11" i="1"/>
  <c r="L10" i="1"/>
  <c r="K10" i="1"/>
  <c r="L9" i="1"/>
  <c r="K9" i="1"/>
  <c r="L8" i="1"/>
  <c r="K8" i="1"/>
  <c r="L7" i="1"/>
  <c r="K7" i="1"/>
  <c r="L6" i="1"/>
  <c r="K6" i="1"/>
  <c r="L5" i="1"/>
  <c r="K5" i="1"/>
  <c r="L4" i="1"/>
  <c r="K4" i="1"/>
  <c r="L3" i="1"/>
  <c r="K3" i="1"/>
  <c r="L2" i="1"/>
  <c r="K2" i="1"/>
  <c r="F7" i="2" l="1"/>
  <c r="H7" i="2"/>
  <c r="F6" i="2"/>
  <c r="H6" i="2"/>
  <c r="H5" i="2"/>
  <c r="G5" i="2"/>
  <c r="H4" i="2"/>
  <c r="F4" i="2"/>
  <c r="H3" i="2"/>
  <c r="G3" i="2"/>
  <c r="F3" i="2"/>
  <c r="H2" i="2"/>
  <c r="F2" i="2"/>
  <c r="D4" i="3"/>
  <c r="C4" i="3"/>
  <c r="F4" i="3" s="1"/>
  <c r="G4" i="3" s="1"/>
  <c r="E4" i="3"/>
  <c r="E7" i="3"/>
  <c r="C7" i="3"/>
  <c r="D7" i="3"/>
  <c r="F7" i="3" l="1"/>
  <c r="G7" i="3" s="1"/>
</calcChain>
</file>

<file path=xl/sharedStrings.xml><?xml version="1.0" encoding="utf-8"?>
<sst xmlns="http://schemas.openxmlformats.org/spreadsheetml/2006/main" count="263" uniqueCount="137">
  <si>
    <t>Smell</t>
  </si>
  <si>
    <t>File</t>
  </si>
  <si>
    <t>Code unit</t>
  </si>
  <si>
    <t>PMD</t>
  </si>
  <si>
    <t>ChatGPT R1</t>
  </si>
  <si>
    <t>ChatGPT R2</t>
  </si>
  <si>
    <t>ChatGPT R3</t>
  </si>
  <si>
    <t>DeepSeek R1</t>
  </si>
  <si>
    <t>DeepSeek R2</t>
  </si>
  <si>
    <t>DeepSeek R3</t>
  </si>
  <si>
    <t>ChatGPT runs (of 3)</t>
  </si>
  <si>
    <t>DeepSeek runs (of 3)</t>
  </si>
  <si>
    <t>Notes</t>
  </si>
  <si>
    <t>Long Method</t>
  </si>
  <si>
    <t>cli/CommandLine.java</t>
  </si>
  <si>
    <t>CommandLine.getParsedOptionValues(Option,Supplier&lt;T[]&gt;)</t>
  </si>
  <si>
    <t>cli/DefaultParser.java</t>
  </si>
  <si>
    <t>DefaultParser.handleShortAndLongOption(String)</t>
  </si>
  <si>
    <t>DefaultParser.handleToken(String)</t>
  </si>
  <si>
    <t>DefaultParser.parse(Options,Properties,NonOptionAction,String[])</t>
  </si>
  <si>
    <t>cli/GnuParser.java</t>
  </si>
  <si>
    <t>GnuParser.flatten(Options,String[],boolean)</t>
  </si>
  <si>
    <t>cli/HelpFormatter.java</t>
  </si>
  <si>
    <t>HelpFormatter.appendOptions(Appendable,int,Options,int,int)</t>
  </si>
  <si>
    <t>HelpFormatter.appendWrappedText(Appendable,int,int,String)</t>
  </si>
  <si>
    <t>HelpFormatter.findWrapPos(String,int,int)</t>
  </si>
  <si>
    <t>HelpFormatter.printHelp(PrintWriter,int,String,String,Options,int,int,String,boolean)</t>
  </si>
  <si>
    <t>HelpFormatter.printUsage(PrintWriter,int,String,Options)</t>
  </si>
  <si>
    <t>cli/Parser.java</t>
  </si>
  <si>
    <t>Parser.parse(Options,String[],Properties,boolean)</t>
  </si>
  <si>
    <t>Parser.processProperties(Properties)</t>
  </si>
  <si>
    <t>cli/PatternOptionBuilder.java</t>
  </si>
  <si>
    <t>PatternOptionBuilder.parsePattern(String)</t>
  </si>
  <si>
    <t>cli/PosixParser.java</t>
  </si>
  <si>
    <t>PosixParser.flatten(Options,String[],boolean)</t>
  </si>
  <si>
    <t>cli/TypeHandler.java</t>
  </si>
  <si>
    <t>TypeHandler.putDefaultMap(Map)</t>
  </si>
  <si>
    <t>cli/help/HelpFormatter.java</t>
  </si>
  <si>
    <t>HelpFormatter.getTableDefinition(Iterable&lt;Option&gt;)</t>
  </si>
  <si>
    <t>Different class from cli/HelpFormatter.java (same name, help sub-package).</t>
  </si>
  <si>
    <t>cli/help/TextHelpAppendable.java</t>
  </si>
  <si>
    <t>TextHelpAppendable.adjustTableFormat(TableDefinition)</t>
  </si>
  <si>
    <t>ChatGPT run 3 evidence is generic (no specific code elements quoted).</t>
  </si>
  <si>
    <t>cli/help/TextStyle.java</t>
  </si>
  <si>
    <t>TextStyle.pad(boolean,CharSequence)</t>
  </si>
  <si>
    <t>God Class</t>
  </si>
  <si>
    <t>CommandLine</t>
  </si>
  <si>
    <t>DefaultParser</t>
  </si>
  <si>
    <t>HelpFormatter</t>
  </si>
  <si>
    <t>cli/Option.java</t>
  </si>
  <si>
    <t>Option</t>
  </si>
  <si>
    <t>cli/Options.java</t>
  </si>
  <si>
    <t>Options</t>
  </si>
  <si>
    <t>Parser</t>
  </si>
  <si>
    <t>PatternOptionBuilder</t>
  </si>
  <si>
    <t>TypeHandler</t>
  </si>
  <si>
    <t>TextHelpAppendable</t>
  </si>
  <si>
    <t>Long Parameter List</t>
  </si>
  <si>
    <t>Parameter type written "A" by some runs / PMD (generic &lt;A extends Appendable&gt;); treated as Appendable.</t>
  </si>
  <si>
    <t>HelpFormatter.printHelp(PrintWriter,int,String,String,Options,int,int,String)</t>
  </si>
  <si>
    <t>HelpFormatter.printHelp(String,String,Options,String,boolean)</t>
  </si>
  <si>
    <t>HelpFormatter.printHelp(int,String,String,Options,String)</t>
  </si>
  <si>
    <t>HelpFormatter.printHelp(int,String,String,Options,String,boolean)</t>
  </si>
  <si>
    <t>HelpFormatter.printOptions(PrintWriter,int,Options,int,int)</t>
  </si>
  <si>
    <t>HelpFormatter.renderOptions(StringBuffer,int,Options,int,int)</t>
  </si>
  <si>
    <t>Option(String,String,boolean,String)</t>
  </si>
  <si>
    <t>Constructor. DS run 1 printed a garbled "Code unit" line for it (kept as one detection). LLMs call it borderline (4 params).</t>
  </si>
  <si>
    <t>Options.addOption(String,String,boolean,String)</t>
  </si>
  <si>
    <t>Options.addOption(String,boolean,String)</t>
  </si>
  <si>
    <t>Options.addRequiredOption(String,String,boolean,String)</t>
  </si>
  <si>
    <t>cli/help/AbstractHelpFormatter.java</t>
  </si>
  <si>
    <t>AbstractHelpFormatter.printHelp(String,String,Iterable&lt;Option&gt;,String,boolean)</t>
  </si>
  <si>
    <t>AbstractHelpFormatter.printHelp(String,String,Options,String,boolean)</t>
  </si>
  <si>
    <t>cli/help/OptionFormatter.java</t>
  </si>
  <si>
    <t>OptionFormatter.Builder.setArgumentNameDelimiters(String,String)</t>
  </si>
  <si>
    <t>DS run 2 listed this and setOptionalDelimiters as ONE entry; split into 2 units here. 2 params, LLM calls it low-confidence.</t>
  </si>
  <si>
    <t>OptionFormatter.Builder.setOptionalDelimiters(String,String)</t>
  </si>
  <si>
    <t>See note on setArgumentNameDelimiters (split from a combined entry).</t>
  </si>
  <si>
    <t>cli/help/TableDefinition.java</t>
  </si>
  <si>
    <t>TableDefinition.from(String,List&lt;TextStyle&gt;,List&lt;String&gt;,Iterable&lt;List&lt;String&gt;&gt;)</t>
  </si>
  <si>
    <t>Comparison Pair</t>
  </si>
  <si>
    <t>Smell Type</t>
  </si>
  <si>
    <t>Static Detections</t>
  </si>
  <si>
    <t>LLM Detections (Run 1)</t>
  </si>
  <si>
    <t>Common</t>
  </si>
  <si>
    <t>Static Only</t>
  </si>
  <si>
    <t>LLM Only</t>
  </si>
  <si>
    <t>Overlap (%)</t>
  </si>
  <si>
    <t>Comments</t>
  </si>
  <si>
    <t>PMD vs ChatGPT (Run 1)</t>
  </si>
  <si>
    <t>Missed Parser.parse and TextHelpAppendable.adjustTableFormat; added printUsage (NCSS 18) and parsePattern (NCSS 28), both under PMD's threshold of 30.</t>
  </si>
  <si>
    <t>Flagged only HelpFormatter. PMD-only: CommandLine, DefaultParser, Option, Parser.</t>
  </si>
  <si>
    <t>Flagged only the 6-, 8- and 9-parameter printHelp overloads. PMD also flags seven 5-parameter methods, none reported.</t>
  </si>
  <si>
    <t>PMD vs DeepSeek (Run 1)</t>
  </si>
  <si>
    <t>Missed only TextStyle.pad; added 5 methods below PMD's threshold (printHelp 9-param NCSS 12, printUsage 18, findWrapPos 17, DefaultParser.parse 16, parsePattern 28).</t>
  </si>
  <si>
    <t>Matched 4 of 5; missed Parser; added TextHelpAppendable, which PMD did not flag.</t>
  </si>
  <si>
    <t>Matched 5 of 10 (all printHelp overloads and appendOptions). Added 3- and 4-parameter methods (Options.addOption, Option ctor, DefaultParser.parse); missed printOptions, renderOptions and both AbstractHelpFormatter methods.</t>
  </si>
  <si>
    <t>LLM</t>
  </si>
  <si>
    <t>1 Run Only</t>
  </si>
  <si>
    <t>Exactly 2 Runs</t>
  </si>
  <si>
    <t>All 3 Runs</t>
  </si>
  <si>
    <t>Total Distinct</t>
  </si>
  <si>
    <t>Consistency (%)</t>
  </si>
  <si>
    <t>Mean Explanation Quality (/3)</t>
  </si>
  <si>
    <t>ChatGPT</t>
  </si>
  <si>
    <t>DeepSeek</t>
  </si>
  <si>
    <t>Detection # (Run 1, source order)</t>
  </si>
  <si>
    <t>Code reference (0/1)</t>
  </si>
  <si>
    <t>Smell characteristic (0/1)</t>
  </si>
  <si>
    <t>Evidence-to-smell link (0/1)</t>
  </si>
  <si>
    <t>Score (/3)</t>
  </si>
  <si>
    <t>Rationale</t>
  </si>
  <si>
    <t>Cites handleOption(), handleLongOptionWithoutEqual(), handleConcatenatedOptions(), currentOption.processValue(); says length plus many token-parsing cases make control flow hard to follow.</t>
  </si>
  <si>
    <t>GnuParser.flatten(Options, String[], boolean)</t>
  </si>
  <si>
    <t>Cites eatTheRest, indexOfEqual(), options.hasOption(); says it combines traversal, recognition and splitting, so is more complex than a single operation.</t>
  </si>
  <si>
    <t>Lists printHelp/printUsage/findWrapPos, fields defaultWidth/optionComparator; says formatting, layout, wrapping and output are combined in one large class.</t>
  </si>
  <si>
    <t>HelpFormatter.printHelp(int, String, String, Options, String, boolean)</t>
  </si>
  <si>
    <t>Names all six parameters; says six separate inputs exceed a comfortable signature size.</t>
  </si>
  <si>
    <t>HelpFormatter.printHelp(PrintWriter, int, String, String, Options, int, int, String)</t>
  </si>
  <si>
    <t>Names all eight parameters; says independent arguments make the signature cumbersome to call correctly.</t>
  </si>
  <si>
    <t>Quotes the actual conditions (token.length() == 1, pos == -1, isJavaProperty...); says many alternative token shapes make the flow long and hard to follow.</t>
  </si>
  <si>
    <t>DefaultParser.parse(Options, Properties, NonOptionAction, String...)</t>
  </si>
  <si>
    <t>Quotes expectedOpts, setSelected(null), handleToken, checkRequiredArgs; says setup, dispatch, reset, properties and validation are bundled in one body.</t>
  </si>
  <si>
    <t>Lists getParsedOptionValue overloads, resolveOption, handleDeprecated; says it covers storage, lookup, typed parsing, properties and iteration.</t>
  </si>
  <si>
    <t>Lists fields (cmd, currentOption, skipParsing) and helpers; says it owns classification, matching, bookkeeping, properties and CommandLine construction.</t>
  </si>
  <si>
    <t>Names the four parameters, but only says the signature "carries several unrelated concerns"; never says the list is long or hard to call, so no smell characteristic and no link.</t>
  </si>
  <si>
    <t>HelpFormatter.appendOptions(A, int, Options, int, int)</t>
  </si>
  <si>
    <t>Names the five parameters; says they are passed positionally and make the call hard to interpret.</t>
  </si>
  <si>
    <t>1. A detection = one smell reported for one code unit. Units: class for God Class; Class.method(parameter types) for Long Method and Long Parameter List.</t>
  </si>
  <si>
    <t>2. Two detections are "the same" only if smell, FILE and code unit (including parameter types) are identical. Overloads such as HelpFormatter.printHelp(...) are different units.</t>
  </si>
  <si>
    <t>3. Generic type "A" (A extends Appendable) is treated as Appendable; varargs String... is treated as String[]. cli/HelpFormatter and cli/help/HelpFormatter are different classes.</t>
  </si>
  <si>
    <t>4. Every item an LLM listed is counted as a detection, including ones it called borderline or low-confidence.</t>
  </si>
  <si>
    <t>5. PMD settings: GodClass default; NcssCount methodReportLevel=30; ExcessiveParameterList minimum=5; run on the comment-stripped sources (34 files).</t>
  </si>
  <si>
    <t>6. DeepSeek run 2 listed two Builder setters as one entry; split into two units (code-unit level).</t>
  </si>
  <si>
    <t>7. Distinct detections per LLM = union of units across its 3 runs; consistency = detections found in all 3 runs / distinct detections.</t>
  </si>
  <si>
    <t>Explanations sheet: ChatGPT has one God Class detection in Run 1, so one explanation is scored for it; 11 explanations in total.</t>
  </si>
  <si>
    <t>Matching rules used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</si>
</sst>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;\-0;;@"/>
    <numFmt numFmtId="165" formatCode="0.0%"/>
  </numFmts>
  <fonts count="4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C6E0B4"/>
        <bgColor rgb="FFBFBFB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164" fontId="2" fillId="0" borderId="1" xfId="0" applyNumberFormat="1" applyFont="1" applyBorder="1" applyAlignment="1">
      <alignment horizontal="center"/>
    </xf>
    <xf numFmtId="164" fontId="2" fillId="3" borderId="1" xfId="0" applyNumberFormat="1" applyFont="1" applyFill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165" fontId="2" fillId="0" borderId="1" xfId="0" applyNumberFormat="1" applyFont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3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6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8" customWidth="1"/>
    <col min="2" max="2" width="30" customWidth="1"/>
    <col min="3" max="3" width="62" customWidth="1"/>
    <col min="4" max="4" width="7" customWidth="1"/>
    <col min="5" max="7" width="10" customWidth="1"/>
    <col min="8" max="10" width="11" customWidth="1"/>
    <col min="11" max="12" width="12" customWidth="1"/>
    <col min="13" max="13" width="60" customWidth="1"/>
  </cols>
  <sheetData>
    <row r="1" spans="1:13" ht="31.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2" t="s">
        <v>13</v>
      </c>
      <c r="B2" s="2" t="s">
        <v>14</v>
      </c>
      <c r="C2" s="2" t="s">
        <v>15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4">
        <v>1</v>
      </c>
      <c r="J2" s="4">
        <v>1</v>
      </c>
      <c r="K2" s="3">
        <f t="shared" ref="K2:K46" si="0">SUM(E2:G2)</f>
        <v>0</v>
      </c>
      <c r="L2" s="3">
        <f t="shared" ref="L2:L46" si="1">SUM(H2:J2)</f>
        <v>2</v>
      </c>
      <c r="M2" s="2"/>
    </row>
    <row r="3" spans="1:13" x14ac:dyDescent="0.3">
      <c r="A3" s="2" t="s">
        <v>13</v>
      </c>
      <c r="B3" s="2" t="s">
        <v>16</v>
      </c>
      <c r="C3" s="2" t="s">
        <v>17</v>
      </c>
      <c r="D3" s="4">
        <v>1</v>
      </c>
      <c r="E3" s="4">
        <v>1</v>
      </c>
      <c r="F3" s="4">
        <v>1</v>
      </c>
      <c r="G3" s="4">
        <v>1</v>
      </c>
      <c r="H3" s="4">
        <v>1</v>
      </c>
      <c r="I3" s="4">
        <v>1</v>
      </c>
      <c r="J3" s="4">
        <v>1</v>
      </c>
      <c r="K3" s="3">
        <f t="shared" si="0"/>
        <v>3</v>
      </c>
      <c r="L3" s="3">
        <f t="shared" si="1"/>
        <v>3</v>
      </c>
      <c r="M3" s="2"/>
    </row>
    <row r="4" spans="1:13" x14ac:dyDescent="0.3">
      <c r="A4" s="2" t="s">
        <v>13</v>
      </c>
      <c r="B4" s="2" t="s">
        <v>16</v>
      </c>
      <c r="C4" s="2" t="s">
        <v>18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4">
        <v>1</v>
      </c>
      <c r="J4" s="4">
        <v>1</v>
      </c>
      <c r="K4" s="3">
        <f t="shared" si="0"/>
        <v>0</v>
      </c>
      <c r="L4" s="3">
        <f t="shared" si="1"/>
        <v>2</v>
      </c>
      <c r="M4" s="2"/>
    </row>
    <row r="5" spans="1:13" x14ac:dyDescent="0.3">
      <c r="A5" s="2" t="s">
        <v>13</v>
      </c>
      <c r="B5" s="2" t="s">
        <v>16</v>
      </c>
      <c r="C5" s="2" t="s">
        <v>19</v>
      </c>
      <c r="D5" s="3">
        <v>0</v>
      </c>
      <c r="E5" s="3">
        <v>0</v>
      </c>
      <c r="F5" s="3">
        <v>0</v>
      </c>
      <c r="G5" s="3">
        <v>0</v>
      </c>
      <c r="H5" s="4">
        <v>1</v>
      </c>
      <c r="I5" s="4">
        <v>1</v>
      </c>
      <c r="J5" s="4">
        <v>1</v>
      </c>
      <c r="K5" s="3">
        <f t="shared" si="0"/>
        <v>0</v>
      </c>
      <c r="L5" s="3">
        <f t="shared" si="1"/>
        <v>3</v>
      </c>
      <c r="M5" s="2"/>
    </row>
    <row r="6" spans="1:13" x14ac:dyDescent="0.3">
      <c r="A6" s="2" t="s">
        <v>13</v>
      </c>
      <c r="B6" s="2" t="s">
        <v>20</v>
      </c>
      <c r="C6" s="2" t="s">
        <v>21</v>
      </c>
      <c r="D6" s="4">
        <v>1</v>
      </c>
      <c r="E6" s="4">
        <v>1</v>
      </c>
      <c r="F6" s="3">
        <v>0</v>
      </c>
      <c r="G6" s="4">
        <v>1</v>
      </c>
      <c r="H6" s="4">
        <v>1</v>
      </c>
      <c r="I6" s="3">
        <v>0</v>
      </c>
      <c r="J6" s="4">
        <v>1</v>
      </c>
      <c r="K6" s="3">
        <f t="shared" si="0"/>
        <v>2</v>
      </c>
      <c r="L6" s="3">
        <f t="shared" si="1"/>
        <v>2</v>
      </c>
      <c r="M6" s="2"/>
    </row>
    <row r="7" spans="1:13" x14ac:dyDescent="0.3">
      <c r="A7" s="2" t="s">
        <v>13</v>
      </c>
      <c r="B7" s="2" t="s">
        <v>22</v>
      </c>
      <c r="C7" s="2" t="s">
        <v>23</v>
      </c>
      <c r="D7" s="4">
        <v>1</v>
      </c>
      <c r="E7" s="4">
        <v>1</v>
      </c>
      <c r="F7" s="4">
        <v>1</v>
      </c>
      <c r="G7" s="4">
        <v>1</v>
      </c>
      <c r="H7" s="4">
        <v>1</v>
      </c>
      <c r="I7" s="4">
        <v>1</v>
      </c>
      <c r="J7" s="4">
        <v>1</v>
      </c>
      <c r="K7" s="3">
        <f t="shared" si="0"/>
        <v>3</v>
      </c>
      <c r="L7" s="3">
        <f t="shared" si="1"/>
        <v>3</v>
      </c>
      <c r="M7" s="2"/>
    </row>
    <row r="8" spans="1:13" x14ac:dyDescent="0.3">
      <c r="A8" s="2" t="s">
        <v>13</v>
      </c>
      <c r="B8" s="2" t="s">
        <v>22</v>
      </c>
      <c r="C8" s="2" t="s">
        <v>24</v>
      </c>
      <c r="D8" s="3">
        <v>0</v>
      </c>
      <c r="E8" s="3">
        <v>0</v>
      </c>
      <c r="F8" s="3">
        <v>0</v>
      </c>
      <c r="G8" s="4">
        <v>1</v>
      </c>
      <c r="H8" s="3">
        <v>0</v>
      </c>
      <c r="I8" s="3">
        <v>0</v>
      </c>
      <c r="J8" s="3">
        <v>0</v>
      </c>
      <c r="K8" s="3">
        <f t="shared" si="0"/>
        <v>1</v>
      </c>
      <c r="L8" s="3">
        <f t="shared" si="1"/>
        <v>0</v>
      </c>
      <c r="M8" s="2"/>
    </row>
    <row r="9" spans="1:13" x14ac:dyDescent="0.3">
      <c r="A9" s="2" t="s">
        <v>13</v>
      </c>
      <c r="B9" s="2" t="s">
        <v>22</v>
      </c>
      <c r="C9" s="2" t="s">
        <v>25</v>
      </c>
      <c r="D9" s="3">
        <v>0</v>
      </c>
      <c r="E9" s="3">
        <v>0</v>
      </c>
      <c r="F9" s="3">
        <v>0</v>
      </c>
      <c r="G9" s="3">
        <v>0</v>
      </c>
      <c r="H9" s="4">
        <v>1</v>
      </c>
      <c r="I9" s="3">
        <v>0</v>
      </c>
      <c r="J9" s="3">
        <v>0</v>
      </c>
      <c r="K9" s="3">
        <f t="shared" si="0"/>
        <v>0</v>
      </c>
      <c r="L9" s="3">
        <f t="shared" si="1"/>
        <v>1</v>
      </c>
      <c r="M9" s="2"/>
    </row>
    <row r="10" spans="1:13" ht="26.4" x14ac:dyDescent="0.3">
      <c r="A10" s="2" t="s">
        <v>13</v>
      </c>
      <c r="B10" s="2" t="s">
        <v>22</v>
      </c>
      <c r="C10" s="2" t="s">
        <v>26</v>
      </c>
      <c r="D10" s="3">
        <v>0</v>
      </c>
      <c r="E10" s="3">
        <v>0</v>
      </c>
      <c r="F10" s="3">
        <v>0</v>
      </c>
      <c r="G10" s="3">
        <v>0</v>
      </c>
      <c r="H10" s="4">
        <v>1</v>
      </c>
      <c r="I10" s="4">
        <v>1</v>
      </c>
      <c r="J10" s="3">
        <v>0</v>
      </c>
      <c r="K10" s="3">
        <f t="shared" si="0"/>
        <v>0</v>
      </c>
      <c r="L10" s="3">
        <f t="shared" si="1"/>
        <v>2</v>
      </c>
      <c r="M10" s="2"/>
    </row>
    <row r="11" spans="1:13" x14ac:dyDescent="0.3">
      <c r="A11" s="2" t="s">
        <v>13</v>
      </c>
      <c r="B11" s="2" t="s">
        <v>22</v>
      </c>
      <c r="C11" s="2" t="s">
        <v>27</v>
      </c>
      <c r="D11" s="3">
        <v>0</v>
      </c>
      <c r="E11" s="4">
        <v>1</v>
      </c>
      <c r="F11" s="4">
        <v>1</v>
      </c>
      <c r="G11" s="3">
        <v>0</v>
      </c>
      <c r="H11" s="4">
        <v>1</v>
      </c>
      <c r="I11" s="3">
        <v>0</v>
      </c>
      <c r="J11" s="3">
        <v>0</v>
      </c>
      <c r="K11" s="3">
        <f t="shared" si="0"/>
        <v>2</v>
      </c>
      <c r="L11" s="3">
        <f t="shared" si="1"/>
        <v>1</v>
      </c>
      <c r="M11" s="2"/>
    </row>
    <row r="12" spans="1:13" x14ac:dyDescent="0.3">
      <c r="A12" s="2" t="s">
        <v>13</v>
      </c>
      <c r="B12" s="2" t="s">
        <v>28</v>
      </c>
      <c r="C12" s="2" t="s">
        <v>29</v>
      </c>
      <c r="D12" s="4">
        <v>1</v>
      </c>
      <c r="E12" s="3">
        <v>0</v>
      </c>
      <c r="F12" s="3">
        <v>0</v>
      </c>
      <c r="G12" s="4">
        <v>1</v>
      </c>
      <c r="H12" s="4">
        <v>1</v>
      </c>
      <c r="I12" s="3">
        <v>0</v>
      </c>
      <c r="J12" s="3">
        <v>0</v>
      </c>
      <c r="K12" s="3">
        <f t="shared" si="0"/>
        <v>1</v>
      </c>
      <c r="L12" s="3">
        <f t="shared" si="1"/>
        <v>1</v>
      </c>
      <c r="M12" s="2"/>
    </row>
    <row r="13" spans="1:13" x14ac:dyDescent="0.3">
      <c r="A13" s="2" t="s">
        <v>13</v>
      </c>
      <c r="B13" s="2" t="s">
        <v>28</v>
      </c>
      <c r="C13" s="2" t="s">
        <v>30</v>
      </c>
      <c r="D13" s="3">
        <v>0</v>
      </c>
      <c r="E13" s="3">
        <v>0</v>
      </c>
      <c r="F13" s="3">
        <v>0</v>
      </c>
      <c r="G13" s="4">
        <v>1</v>
      </c>
      <c r="H13" s="3">
        <v>0</v>
      </c>
      <c r="I13" s="3">
        <v>0</v>
      </c>
      <c r="J13" s="3">
        <v>0</v>
      </c>
      <c r="K13" s="3">
        <f t="shared" si="0"/>
        <v>1</v>
      </c>
      <c r="L13" s="3">
        <f t="shared" si="1"/>
        <v>0</v>
      </c>
      <c r="M13" s="2"/>
    </row>
    <row r="14" spans="1:13" x14ac:dyDescent="0.3">
      <c r="A14" s="2" t="s">
        <v>13</v>
      </c>
      <c r="B14" s="2" t="s">
        <v>31</v>
      </c>
      <c r="C14" s="2" t="s">
        <v>32</v>
      </c>
      <c r="D14" s="3">
        <v>0</v>
      </c>
      <c r="E14" s="4">
        <v>1</v>
      </c>
      <c r="F14" s="3">
        <v>0</v>
      </c>
      <c r="G14" s="4">
        <v>1</v>
      </c>
      <c r="H14" s="4">
        <v>1</v>
      </c>
      <c r="I14" s="4">
        <v>1</v>
      </c>
      <c r="J14" s="3">
        <v>0</v>
      </c>
      <c r="K14" s="3">
        <f t="shared" si="0"/>
        <v>2</v>
      </c>
      <c r="L14" s="3">
        <f t="shared" si="1"/>
        <v>2</v>
      </c>
      <c r="M14" s="2"/>
    </row>
    <row r="15" spans="1:13" x14ac:dyDescent="0.3">
      <c r="A15" s="2" t="s">
        <v>13</v>
      </c>
      <c r="B15" s="2" t="s">
        <v>33</v>
      </c>
      <c r="C15" s="2" t="s">
        <v>34</v>
      </c>
      <c r="D15" s="4">
        <v>1</v>
      </c>
      <c r="E15" s="4">
        <v>1</v>
      </c>
      <c r="F15" s="3">
        <v>0</v>
      </c>
      <c r="G15" s="4">
        <v>1</v>
      </c>
      <c r="H15" s="4">
        <v>1</v>
      </c>
      <c r="I15" s="3">
        <v>0</v>
      </c>
      <c r="J15" s="4">
        <v>1</v>
      </c>
      <c r="K15" s="3">
        <f t="shared" si="0"/>
        <v>2</v>
      </c>
      <c r="L15" s="3">
        <f t="shared" si="1"/>
        <v>2</v>
      </c>
      <c r="M15" s="2"/>
    </row>
    <row r="16" spans="1:13" x14ac:dyDescent="0.3">
      <c r="A16" s="2" t="s">
        <v>13</v>
      </c>
      <c r="B16" s="2" t="s">
        <v>35</v>
      </c>
      <c r="C16" s="2" t="s">
        <v>36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4">
        <v>1</v>
      </c>
      <c r="J16" s="3">
        <v>0</v>
      </c>
      <c r="K16" s="3">
        <f t="shared" si="0"/>
        <v>0</v>
      </c>
      <c r="L16" s="3">
        <f t="shared" si="1"/>
        <v>1</v>
      </c>
      <c r="M16" s="2"/>
    </row>
    <row r="17" spans="1:13" ht="26.4" x14ac:dyDescent="0.3">
      <c r="A17" s="2" t="s">
        <v>13</v>
      </c>
      <c r="B17" s="2" t="s">
        <v>37</v>
      </c>
      <c r="C17" s="2" t="s">
        <v>38</v>
      </c>
      <c r="D17" s="3">
        <v>0</v>
      </c>
      <c r="E17" s="3">
        <v>0</v>
      </c>
      <c r="F17" s="3">
        <v>0</v>
      </c>
      <c r="G17" s="4">
        <v>1</v>
      </c>
      <c r="H17" s="3">
        <v>0</v>
      </c>
      <c r="I17" s="3">
        <v>0</v>
      </c>
      <c r="J17" s="3">
        <v>0</v>
      </c>
      <c r="K17" s="3">
        <f t="shared" si="0"/>
        <v>1</v>
      </c>
      <c r="L17" s="3">
        <f t="shared" si="1"/>
        <v>0</v>
      </c>
      <c r="M17" s="2" t="s">
        <v>39</v>
      </c>
    </row>
    <row r="18" spans="1:13" ht="26.4" x14ac:dyDescent="0.3">
      <c r="A18" s="2" t="s">
        <v>13</v>
      </c>
      <c r="B18" s="2" t="s">
        <v>40</v>
      </c>
      <c r="C18" s="2" t="s">
        <v>41</v>
      </c>
      <c r="D18" s="4">
        <v>1</v>
      </c>
      <c r="E18" s="3">
        <v>0</v>
      </c>
      <c r="F18" s="3">
        <v>0</v>
      </c>
      <c r="G18" s="4">
        <v>1</v>
      </c>
      <c r="H18" s="4">
        <v>1</v>
      </c>
      <c r="I18" s="4">
        <v>1</v>
      </c>
      <c r="J18" s="3">
        <v>0</v>
      </c>
      <c r="K18" s="3">
        <f t="shared" si="0"/>
        <v>1</v>
      </c>
      <c r="L18" s="3">
        <f t="shared" si="1"/>
        <v>2</v>
      </c>
      <c r="M18" s="2" t="s">
        <v>42</v>
      </c>
    </row>
    <row r="19" spans="1:13" x14ac:dyDescent="0.3">
      <c r="A19" s="2" t="s">
        <v>13</v>
      </c>
      <c r="B19" s="2" t="s">
        <v>43</v>
      </c>
      <c r="C19" s="2" t="s">
        <v>44</v>
      </c>
      <c r="D19" s="4">
        <v>1</v>
      </c>
      <c r="E19" s="4">
        <v>1</v>
      </c>
      <c r="F19" s="3">
        <v>0</v>
      </c>
      <c r="G19" s="4">
        <v>1</v>
      </c>
      <c r="H19" s="3">
        <v>0</v>
      </c>
      <c r="I19" s="3">
        <v>0</v>
      </c>
      <c r="J19" s="3">
        <v>0</v>
      </c>
      <c r="K19" s="3">
        <f t="shared" si="0"/>
        <v>2</v>
      </c>
      <c r="L19" s="3">
        <f t="shared" si="1"/>
        <v>0</v>
      </c>
      <c r="M19" s="2"/>
    </row>
    <row r="20" spans="1:13" x14ac:dyDescent="0.3">
      <c r="A20" s="2" t="s">
        <v>45</v>
      </c>
      <c r="B20" s="2" t="s">
        <v>14</v>
      </c>
      <c r="C20" s="2" t="s">
        <v>46</v>
      </c>
      <c r="D20" s="4">
        <v>1</v>
      </c>
      <c r="E20" s="3">
        <v>0</v>
      </c>
      <c r="F20" s="3">
        <v>0</v>
      </c>
      <c r="G20" s="3">
        <v>0</v>
      </c>
      <c r="H20" s="4">
        <v>1</v>
      </c>
      <c r="I20" s="4">
        <v>1</v>
      </c>
      <c r="J20" s="4">
        <v>1</v>
      </c>
      <c r="K20" s="3">
        <f t="shared" si="0"/>
        <v>0</v>
      </c>
      <c r="L20" s="3">
        <f t="shared" si="1"/>
        <v>3</v>
      </c>
      <c r="M20" s="2"/>
    </row>
    <row r="21" spans="1:13" x14ac:dyDescent="0.3">
      <c r="A21" s="2" t="s">
        <v>45</v>
      </c>
      <c r="B21" s="2" t="s">
        <v>16</v>
      </c>
      <c r="C21" s="2" t="s">
        <v>47</v>
      </c>
      <c r="D21" s="4">
        <v>1</v>
      </c>
      <c r="E21" s="3">
        <v>0</v>
      </c>
      <c r="F21" s="3">
        <v>0</v>
      </c>
      <c r="G21" s="3">
        <v>0</v>
      </c>
      <c r="H21" s="4">
        <v>1</v>
      </c>
      <c r="I21" s="4">
        <v>1</v>
      </c>
      <c r="J21" s="4">
        <v>1</v>
      </c>
      <c r="K21" s="3">
        <f t="shared" si="0"/>
        <v>0</v>
      </c>
      <c r="L21" s="3">
        <f t="shared" si="1"/>
        <v>3</v>
      </c>
      <c r="M21" s="2"/>
    </row>
    <row r="22" spans="1:13" x14ac:dyDescent="0.3">
      <c r="A22" s="2" t="s">
        <v>45</v>
      </c>
      <c r="B22" s="2" t="s">
        <v>22</v>
      </c>
      <c r="C22" s="2" t="s">
        <v>48</v>
      </c>
      <c r="D22" s="4">
        <v>1</v>
      </c>
      <c r="E22" s="4">
        <v>1</v>
      </c>
      <c r="F22" s="4">
        <v>1</v>
      </c>
      <c r="G22" s="4">
        <v>1</v>
      </c>
      <c r="H22" s="4">
        <v>1</v>
      </c>
      <c r="I22" s="4">
        <v>1</v>
      </c>
      <c r="J22" s="4">
        <v>1</v>
      </c>
      <c r="K22" s="3">
        <f t="shared" si="0"/>
        <v>3</v>
      </c>
      <c r="L22" s="3">
        <f t="shared" si="1"/>
        <v>3</v>
      </c>
      <c r="M22" s="2"/>
    </row>
    <row r="23" spans="1:13" x14ac:dyDescent="0.3">
      <c r="A23" s="2" t="s">
        <v>45</v>
      </c>
      <c r="B23" s="2" t="s">
        <v>49</v>
      </c>
      <c r="C23" s="2" t="s">
        <v>50</v>
      </c>
      <c r="D23" s="4">
        <v>1</v>
      </c>
      <c r="E23" s="3">
        <v>0</v>
      </c>
      <c r="F23" s="3">
        <v>0</v>
      </c>
      <c r="G23" s="3">
        <v>0</v>
      </c>
      <c r="H23" s="4">
        <v>1</v>
      </c>
      <c r="I23" s="4">
        <v>1</v>
      </c>
      <c r="J23" s="4">
        <v>1</v>
      </c>
      <c r="K23" s="3">
        <f t="shared" si="0"/>
        <v>0</v>
      </c>
      <c r="L23" s="3">
        <f t="shared" si="1"/>
        <v>3</v>
      </c>
      <c r="M23" s="2"/>
    </row>
    <row r="24" spans="1:13" x14ac:dyDescent="0.3">
      <c r="A24" s="2" t="s">
        <v>45</v>
      </c>
      <c r="B24" s="2" t="s">
        <v>51</v>
      </c>
      <c r="C24" s="2" t="s">
        <v>52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4">
        <v>1</v>
      </c>
      <c r="K24" s="3">
        <f t="shared" si="0"/>
        <v>0</v>
      </c>
      <c r="L24" s="3">
        <f t="shared" si="1"/>
        <v>1</v>
      </c>
      <c r="M24" s="2"/>
    </row>
    <row r="25" spans="1:13" x14ac:dyDescent="0.3">
      <c r="A25" s="2" t="s">
        <v>45</v>
      </c>
      <c r="B25" s="2" t="s">
        <v>28</v>
      </c>
      <c r="C25" s="2" t="s">
        <v>53</v>
      </c>
      <c r="D25" s="4">
        <v>1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f t="shared" si="0"/>
        <v>0</v>
      </c>
      <c r="L25" s="3">
        <f t="shared" si="1"/>
        <v>0</v>
      </c>
      <c r="M25" s="2"/>
    </row>
    <row r="26" spans="1:13" x14ac:dyDescent="0.3">
      <c r="A26" s="2" t="s">
        <v>45</v>
      </c>
      <c r="B26" s="2" t="s">
        <v>31</v>
      </c>
      <c r="C26" s="2" t="s">
        <v>54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4">
        <v>1</v>
      </c>
      <c r="K26" s="3">
        <f t="shared" si="0"/>
        <v>0</v>
      </c>
      <c r="L26" s="3">
        <f t="shared" si="1"/>
        <v>1</v>
      </c>
      <c r="M26" s="2"/>
    </row>
    <row r="27" spans="1:13" x14ac:dyDescent="0.3">
      <c r="A27" s="2" t="s">
        <v>45</v>
      </c>
      <c r="B27" s="2" t="s">
        <v>35</v>
      </c>
      <c r="C27" s="2" t="s">
        <v>55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4">
        <v>1</v>
      </c>
      <c r="K27" s="3">
        <f t="shared" si="0"/>
        <v>0</v>
      </c>
      <c r="L27" s="3">
        <f t="shared" si="1"/>
        <v>1</v>
      </c>
      <c r="M27" s="2"/>
    </row>
    <row r="28" spans="1:13" x14ac:dyDescent="0.3">
      <c r="A28" s="2" t="s">
        <v>45</v>
      </c>
      <c r="B28" s="2" t="s">
        <v>40</v>
      </c>
      <c r="C28" s="2" t="s">
        <v>56</v>
      </c>
      <c r="D28" s="3">
        <v>0</v>
      </c>
      <c r="E28" s="3">
        <v>0</v>
      </c>
      <c r="F28" s="3">
        <v>0</v>
      </c>
      <c r="G28" s="3">
        <v>0</v>
      </c>
      <c r="H28" s="4">
        <v>1</v>
      </c>
      <c r="I28" s="4">
        <v>1</v>
      </c>
      <c r="J28" s="4">
        <v>1</v>
      </c>
      <c r="K28" s="3">
        <f t="shared" si="0"/>
        <v>0</v>
      </c>
      <c r="L28" s="3">
        <f t="shared" si="1"/>
        <v>3</v>
      </c>
      <c r="M28" s="2"/>
    </row>
    <row r="29" spans="1:13" x14ac:dyDescent="0.3">
      <c r="A29" s="2" t="s">
        <v>57</v>
      </c>
      <c r="B29" s="2" t="s">
        <v>16</v>
      </c>
      <c r="C29" s="2" t="s">
        <v>19</v>
      </c>
      <c r="D29" s="3">
        <v>0</v>
      </c>
      <c r="E29" s="3">
        <v>0</v>
      </c>
      <c r="F29" s="3">
        <v>0</v>
      </c>
      <c r="G29" s="4">
        <v>1</v>
      </c>
      <c r="H29" s="4">
        <v>1</v>
      </c>
      <c r="I29" s="4">
        <v>1</v>
      </c>
      <c r="J29" s="4">
        <v>1</v>
      </c>
      <c r="K29" s="3">
        <f t="shared" si="0"/>
        <v>1</v>
      </c>
      <c r="L29" s="3">
        <f t="shared" si="1"/>
        <v>3</v>
      </c>
      <c r="M29" s="2"/>
    </row>
    <row r="30" spans="1:13" ht="26.4" x14ac:dyDescent="0.3">
      <c r="A30" s="2" t="s">
        <v>57</v>
      </c>
      <c r="B30" s="2" t="s">
        <v>22</v>
      </c>
      <c r="C30" s="2" t="s">
        <v>23</v>
      </c>
      <c r="D30" s="4">
        <v>1</v>
      </c>
      <c r="E30" s="3">
        <v>0</v>
      </c>
      <c r="F30" s="3">
        <v>0</v>
      </c>
      <c r="G30" s="4">
        <v>1</v>
      </c>
      <c r="H30" s="4">
        <v>1</v>
      </c>
      <c r="I30" s="3">
        <v>0</v>
      </c>
      <c r="J30" s="3">
        <v>0</v>
      </c>
      <c r="K30" s="3">
        <f t="shared" si="0"/>
        <v>1</v>
      </c>
      <c r="L30" s="3">
        <f t="shared" si="1"/>
        <v>1</v>
      </c>
      <c r="M30" s="2" t="s">
        <v>58</v>
      </c>
    </row>
    <row r="31" spans="1:13" x14ac:dyDescent="0.3">
      <c r="A31" s="2" t="s">
        <v>57</v>
      </c>
      <c r="B31" s="2" t="s">
        <v>22</v>
      </c>
      <c r="C31" s="2" t="s">
        <v>59</v>
      </c>
      <c r="D31" s="4">
        <v>1</v>
      </c>
      <c r="E31" s="4">
        <v>1</v>
      </c>
      <c r="F31" s="3">
        <v>0</v>
      </c>
      <c r="G31" s="3">
        <v>0</v>
      </c>
      <c r="H31" s="4">
        <v>1</v>
      </c>
      <c r="I31" s="4">
        <v>1</v>
      </c>
      <c r="J31" s="4">
        <v>1</v>
      </c>
      <c r="K31" s="3">
        <f t="shared" si="0"/>
        <v>1</v>
      </c>
      <c r="L31" s="3">
        <f t="shared" si="1"/>
        <v>3</v>
      </c>
      <c r="M31" s="2"/>
    </row>
    <row r="32" spans="1:13" ht="26.4" x14ac:dyDescent="0.3">
      <c r="A32" s="2" t="s">
        <v>57</v>
      </c>
      <c r="B32" s="2" t="s">
        <v>22</v>
      </c>
      <c r="C32" s="2" t="s">
        <v>26</v>
      </c>
      <c r="D32" s="4">
        <v>1</v>
      </c>
      <c r="E32" s="4">
        <v>1</v>
      </c>
      <c r="F32" s="4">
        <v>1</v>
      </c>
      <c r="G32" s="4">
        <v>1</v>
      </c>
      <c r="H32" s="4">
        <v>1</v>
      </c>
      <c r="I32" s="4">
        <v>1</v>
      </c>
      <c r="J32" s="4">
        <v>1</v>
      </c>
      <c r="K32" s="3">
        <f t="shared" si="0"/>
        <v>3</v>
      </c>
      <c r="L32" s="3">
        <f t="shared" si="1"/>
        <v>3</v>
      </c>
      <c r="M32" s="2"/>
    </row>
    <row r="33" spans="1:13" x14ac:dyDescent="0.3">
      <c r="A33" s="2" t="s">
        <v>57</v>
      </c>
      <c r="B33" s="2" t="s">
        <v>22</v>
      </c>
      <c r="C33" s="2" t="s">
        <v>60</v>
      </c>
      <c r="D33" s="4">
        <v>1</v>
      </c>
      <c r="E33" s="3">
        <v>0</v>
      </c>
      <c r="F33" s="3">
        <v>0</v>
      </c>
      <c r="G33" s="3">
        <v>0</v>
      </c>
      <c r="H33" s="3">
        <v>0</v>
      </c>
      <c r="I33" s="4">
        <v>1</v>
      </c>
      <c r="J33" s="3">
        <v>0</v>
      </c>
      <c r="K33" s="3">
        <f t="shared" si="0"/>
        <v>0</v>
      </c>
      <c r="L33" s="3">
        <f t="shared" si="1"/>
        <v>1</v>
      </c>
      <c r="M33" s="2"/>
    </row>
    <row r="34" spans="1:13" x14ac:dyDescent="0.3">
      <c r="A34" s="2" t="s">
        <v>57</v>
      </c>
      <c r="B34" s="2" t="s">
        <v>22</v>
      </c>
      <c r="C34" s="2" t="s">
        <v>61</v>
      </c>
      <c r="D34" s="4">
        <v>1</v>
      </c>
      <c r="E34" s="3">
        <v>0</v>
      </c>
      <c r="F34" s="3">
        <v>0</v>
      </c>
      <c r="G34" s="3">
        <v>0</v>
      </c>
      <c r="H34" s="4">
        <v>1</v>
      </c>
      <c r="I34" s="3">
        <v>0</v>
      </c>
      <c r="J34" s="3">
        <v>0</v>
      </c>
      <c r="K34" s="3">
        <f t="shared" si="0"/>
        <v>0</v>
      </c>
      <c r="L34" s="3">
        <f t="shared" si="1"/>
        <v>1</v>
      </c>
      <c r="M34" s="2"/>
    </row>
    <row r="35" spans="1:13" x14ac:dyDescent="0.3">
      <c r="A35" s="2" t="s">
        <v>57</v>
      </c>
      <c r="B35" s="2" t="s">
        <v>22</v>
      </c>
      <c r="C35" s="2" t="s">
        <v>62</v>
      </c>
      <c r="D35" s="4">
        <v>1</v>
      </c>
      <c r="E35" s="4">
        <v>1</v>
      </c>
      <c r="F35" s="3">
        <v>0</v>
      </c>
      <c r="G35" s="3">
        <v>0</v>
      </c>
      <c r="H35" s="4">
        <v>1</v>
      </c>
      <c r="I35" s="4">
        <v>1</v>
      </c>
      <c r="J35" s="4">
        <v>1</v>
      </c>
      <c r="K35" s="3">
        <f t="shared" si="0"/>
        <v>1</v>
      </c>
      <c r="L35" s="3">
        <f t="shared" si="1"/>
        <v>3</v>
      </c>
      <c r="M35" s="2"/>
    </row>
    <row r="36" spans="1:13" x14ac:dyDescent="0.3">
      <c r="A36" s="2" t="s">
        <v>57</v>
      </c>
      <c r="B36" s="2" t="s">
        <v>22</v>
      </c>
      <c r="C36" s="2" t="s">
        <v>63</v>
      </c>
      <c r="D36" s="4">
        <v>1</v>
      </c>
      <c r="E36" s="3">
        <v>0</v>
      </c>
      <c r="F36" s="3">
        <v>0</v>
      </c>
      <c r="G36" s="4">
        <v>1</v>
      </c>
      <c r="H36" s="3">
        <v>0</v>
      </c>
      <c r="I36" s="3">
        <v>0</v>
      </c>
      <c r="J36" s="3">
        <v>0</v>
      </c>
      <c r="K36" s="3">
        <f t="shared" si="0"/>
        <v>1</v>
      </c>
      <c r="L36" s="3">
        <f t="shared" si="1"/>
        <v>0</v>
      </c>
      <c r="M36" s="2"/>
    </row>
    <row r="37" spans="1:13" x14ac:dyDescent="0.3">
      <c r="A37" s="2" t="s">
        <v>57</v>
      </c>
      <c r="B37" s="2" t="s">
        <v>22</v>
      </c>
      <c r="C37" s="2" t="s">
        <v>64</v>
      </c>
      <c r="D37" s="4">
        <v>1</v>
      </c>
      <c r="E37" s="3">
        <v>0</v>
      </c>
      <c r="F37" s="3">
        <v>0</v>
      </c>
      <c r="G37" s="4">
        <v>1</v>
      </c>
      <c r="H37" s="3">
        <v>0</v>
      </c>
      <c r="I37" s="3">
        <v>0</v>
      </c>
      <c r="J37" s="3">
        <v>0</v>
      </c>
      <c r="K37" s="3">
        <f t="shared" si="0"/>
        <v>1</v>
      </c>
      <c r="L37" s="3">
        <f t="shared" si="1"/>
        <v>0</v>
      </c>
      <c r="M37" s="2"/>
    </row>
    <row r="38" spans="1:13" ht="26.4" x14ac:dyDescent="0.3">
      <c r="A38" s="2" t="s">
        <v>57</v>
      </c>
      <c r="B38" s="2" t="s">
        <v>49</v>
      </c>
      <c r="C38" s="2" t="s">
        <v>65</v>
      </c>
      <c r="D38" s="3">
        <v>0</v>
      </c>
      <c r="E38" s="3">
        <v>0</v>
      </c>
      <c r="F38" s="3">
        <v>0</v>
      </c>
      <c r="G38" s="4">
        <v>1</v>
      </c>
      <c r="H38" s="4">
        <v>1</v>
      </c>
      <c r="I38" s="4">
        <v>1</v>
      </c>
      <c r="J38" s="3">
        <v>0</v>
      </c>
      <c r="K38" s="3">
        <f t="shared" si="0"/>
        <v>1</v>
      </c>
      <c r="L38" s="3">
        <f t="shared" si="1"/>
        <v>2</v>
      </c>
      <c r="M38" s="2" t="s">
        <v>66</v>
      </c>
    </row>
    <row r="39" spans="1:13" x14ac:dyDescent="0.3">
      <c r="A39" s="2" t="s">
        <v>57</v>
      </c>
      <c r="B39" s="2" t="s">
        <v>51</v>
      </c>
      <c r="C39" s="2" t="s">
        <v>67</v>
      </c>
      <c r="D39" s="3">
        <v>0</v>
      </c>
      <c r="E39" s="3">
        <v>0</v>
      </c>
      <c r="F39" s="3">
        <v>0</v>
      </c>
      <c r="G39" s="3">
        <v>0</v>
      </c>
      <c r="H39" s="4">
        <v>1</v>
      </c>
      <c r="I39" s="3">
        <v>0</v>
      </c>
      <c r="J39" s="3">
        <v>0</v>
      </c>
      <c r="K39" s="3">
        <f t="shared" si="0"/>
        <v>0</v>
      </c>
      <c r="L39" s="3">
        <f t="shared" si="1"/>
        <v>1</v>
      </c>
      <c r="M39" s="2"/>
    </row>
    <row r="40" spans="1:13" x14ac:dyDescent="0.3">
      <c r="A40" s="2" t="s">
        <v>57</v>
      </c>
      <c r="B40" s="2" t="s">
        <v>51</v>
      </c>
      <c r="C40" s="2" t="s">
        <v>68</v>
      </c>
      <c r="D40" s="3">
        <v>0</v>
      </c>
      <c r="E40" s="3">
        <v>0</v>
      </c>
      <c r="F40" s="3">
        <v>0</v>
      </c>
      <c r="G40" s="3">
        <v>0</v>
      </c>
      <c r="H40" s="4">
        <v>1</v>
      </c>
      <c r="I40" s="3">
        <v>0</v>
      </c>
      <c r="J40" s="3">
        <v>0</v>
      </c>
      <c r="K40" s="3">
        <f t="shared" si="0"/>
        <v>0</v>
      </c>
      <c r="L40" s="3">
        <f t="shared" si="1"/>
        <v>1</v>
      </c>
      <c r="M40" s="2"/>
    </row>
    <row r="41" spans="1:13" x14ac:dyDescent="0.3">
      <c r="A41" s="2" t="s">
        <v>57</v>
      </c>
      <c r="B41" s="2" t="s">
        <v>51</v>
      </c>
      <c r="C41" s="2" t="s">
        <v>69</v>
      </c>
      <c r="D41" s="3">
        <v>0</v>
      </c>
      <c r="E41" s="3">
        <v>0</v>
      </c>
      <c r="F41" s="3">
        <v>0</v>
      </c>
      <c r="G41" s="3">
        <v>0</v>
      </c>
      <c r="H41" s="4">
        <v>1</v>
      </c>
      <c r="I41" s="3">
        <v>0</v>
      </c>
      <c r="J41" s="3">
        <v>0</v>
      </c>
      <c r="K41" s="3">
        <f t="shared" si="0"/>
        <v>0</v>
      </c>
      <c r="L41" s="3">
        <f t="shared" si="1"/>
        <v>1</v>
      </c>
      <c r="M41" s="2"/>
    </row>
    <row r="42" spans="1:13" ht="26.4" x14ac:dyDescent="0.3">
      <c r="A42" s="2" t="s">
        <v>57</v>
      </c>
      <c r="B42" s="2" t="s">
        <v>70</v>
      </c>
      <c r="C42" s="2" t="s">
        <v>71</v>
      </c>
      <c r="D42" s="4">
        <v>1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f t="shared" si="0"/>
        <v>0</v>
      </c>
      <c r="L42" s="3">
        <f t="shared" si="1"/>
        <v>0</v>
      </c>
      <c r="M42" s="2"/>
    </row>
    <row r="43" spans="1:13" x14ac:dyDescent="0.3">
      <c r="A43" s="2" t="s">
        <v>57</v>
      </c>
      <c r="B43" s="2" t="s">
        <v>70</v>
      </c>
      <c r="C43" s="2" t="s">
        <v>72</v>
      </c>
      <c r="D43" s="4">
        <v>1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f t="shared" si="0"/>
        <v>0</v>
      </c>
      <c r="L43" s="3">
        <f t="shared" si="1"/>
        <v>0</v>
      </c>
      <c r="M43" s="2"/>
    </row>
    <row r="44" spans="1:13" ht="26.4" x14ac:dyDescent="0.3">
      <c r="A44" s="2" t="s">
        <v>57</v>
      </c>
      <c r="B44" s="2" t="s">
        <v>73</v>
      </c>
      <c r="C44" s="2" t="s">
        <v>74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4">
        <v>1</v>
      </c>
      <c r="J44" s="3">
        <v>0</v>
      </c>
      <c r="K44" s="3">
        <f t="shared" si="0"/>
        <v>0</v>
      </c>
      <c r="L44" s="3">
        <f t="shared" si="1"/>
        <v>1</v>
      </c>
      <c r="M44" s="2" t="s">
        <v>75</v>
      </c>
    </row>
    <row r="45" spans="1:13" x14ac:dyDescent="0.3">
      <c r="A45" s="2" t="s">
        <v>57</v>
      </c>
      <c r="B45" s="2" t="s">
        <v>73</v>
      </c>
      <c r="C45" s="2" t="s">
        <v>76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4">
        <v>1</v>
      </c>
      <c r="J45" s="3">
        <v>0</v>
      </c>
      <c r="K45" s="3">
        <f t="shared" si="0"/>
        <v>0</v>
      </c>
      <c r="L45" s="3">
        <f t="shared" si="1"/>
        <v>1</v>
      </c>
      <c r="M45" s="2" t="s">
        <v>77</v>
      </c>
    </row>
    <row r="46" spans="1:13" ht="26.4" x14ac:dyDescent="0.3">
      <c r="A46" s="2" t="s">
        <v>57</v>
      </c>
      <c r="B46" s="2" t="s">
        <v>78</v>
      </c>
      <c r="C46" s="2" t="s">
        <v>79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4">
        <v>1</v>
      </c>
      <c r="J46" s="3">
        <v>0</v>
      </c>
      <c r="K46" s="3">
        <f t="shared" si="0"/>
        <v>0</v>
      </c>
      <c r="L46" s="3">
        <f t="shared" si="1"/>
        <v>1</v>
      </c>
      <c r="M46" s="2"/>
    </row>
  </sheetData>
  <autoFilter ref="A1:M46" xr:uid="{00000000-0009-0000-0000-000000000000}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7"/>
  <sheetViews>
    <sheetView zoomScaleNormal="100" workbookViewId="0"/>
  </sheetViews>
  <sheetFormatPr defaultColWidth="8.6640625" defaultRowHeight="14.4" x14ac:dyDescent="0.3"/>
  <cols>
    <col min="1" max="1" width="26" customWidth="1"/>
    <col min="2" max="2" width="20" customWidth="1"/>
    <col min="3" max="3" width="12" customWidth="1"/>
    <col min="4" max="4" width="14" customWidth="1"/>
    <col min="5" max="5" width="10" customWidth="1"/>
    <col min="6" max="6" width="11" customWidth="1"/>
    <col min="7" max="7" width="10" customWidth="1"/>
    <col min="8" max="8" width="12" customWidth="1"/>
    <col min="9" max="9" width="40" customWidth="1"/>
  </cols>
  <sheetData>
    <row r="1" spans="1:9" ht="31.5" customHeight="1" x14ac:dyDescent="0.3">
      <c r="A1" s="1" t="s">
        <v>80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</row>
    <row r="2" spans="1:9" x14ac:dyDescent="0.3">
      <c r="A2" s="5" t="s">
        <v>89</v>
      </c>
      <c r="B2" s="5" t="s">
        <v>13</v>
      </c>
      <c r="C2" s="6">
        <f>SUMIFS(Matrix!$D$2:$D$46,Matrix!$A$2:$A$46,B2)</f>
        <v>7</v>
      </c>
      <c r="D2" s="6">
        <f>SUMIFS(Matrix!$E$2:$E$46,Matrix!$A$2:$A$46,B2)</f>
        <v>7</v>
      </c>
      <c r="E2" s="6">
        <f>COUNTIFS(Matrix!$A$2:$A$46,B2,Matrix!$D$2:$D$46,1,Matrix!$E$2:$E$46,1)</f>
        <v>5</v>
      </c>
      <c r="F2" s="6">
        <f t="shared" ref="F2:F7" si="0">C2-E2</f>
        <v>2</v>
      </c>
      <c r="G2" s="6">
        <f t="shared" ref="G2:G7" si="1">D2-E2</f>
        <v>2</v>
      </c>
      <c r="H2" s="7">
        <f t="shared" ref="H2:H7" si="2">IF(C2+D2-E2=0,0,E2/(C2+D2-E2))</f>
        <v>0.55555555555555558</v>
      </c>
      <c r="I2" s="5" t="s">
        <v>90</v>
      </c>
    </row>
    <row r="3" spans="1:9" x14ac:dyDescent="0.3">
      <c r="A3" s="5" t="s">
        <v>89</v>
      </c>
      <c r="B3" s="5" t="s">
        <v>45</v>
      </c>
      <c r="C3" s="6">
        <f>SUMIFS(Matrix!$D$2:$D$46,Matrix!$A$2:$A$46,B3)</f>
        <v>5</v>
      </c>
      <c r="D3" s="6">
        <f>SUMIFS(Matrix!$E$2:$E$46,Matrix!$A$2:$A$46,B3)</f>
        <v>1</v>
      </c>
      <c r="E3" s="6">
        <f>COUNTIFS(Matrix!$A$2:$A$46,B3,Matrix!$D$2:$D$46,1,Matrix!$E$2:$E$46,1)</f>
        <v>1</v>
      </c>
      <c r="F3" s="6">
        <f t="shared" si="0"/>
        <v>4</v>
      </c>
      <c r="G3" s="6">
        <f t="shared" si="1"/>
        <v>0</v>
      </c>
      <c r="H3" s="7">
        <f t="shared" si="2"/>
        <v>0.2</v>
      </c>
      <c r="I3" s="5" t="s">
        <v>91</v>
      </c>
    </row>
    <row r="4" spans="1:9" x14ac:dyDescent="0.3">
      <c r="A4" s="5" t="s">
        <v>89</v>
      </c>
      <c r="B4" s="5" t="s">
        <v>57</v>
      </c>
      <c r="C4" s="6">
        <f>SUMIFS(Matrix!$D$2:$D$46,Matrix!$A$2:$A$46,B4)</f>
        <v>10</v>
      </c>
      <c r="D4" s="6">
        <f>SUMIFS(Matrix!$E$2:$E$46,Matrix!$A$2:$A$46,B4)</f>
        <v>3</v>
      </c>
      <c r="E4" s="6">
        <f>COUNTIFS(Matrix!$A$2:$A$46,B4,Matrix!$D$2:$D$46,1,Matrix!$E$2:$E$46,1)</f>
        <v>3</v>
      </c>
      <c r="F4" s="6">
        <f t="shared" si="0"/>
        <v>7</v>
      </c>
      <c r="G4" s="6">
        <f t="shared" si="1"/>
        <v>0</v>
      </c>
      <c r="H4" s="7">
        <f t="shared" si="2"/>
        <v>0.3</v>
      </c>
      <c r="I4" s="5" t="s">
        <v>92</v>
      </c>
    </row>
    <row r="5" spans="1:9" x14ac:dyDescent="0.3">
      <c r="A5" s="5" t="s">
        <v>93</v>
      </c>
      <c r="B5" s="5" t="s">
        <v>13</v>
      </c>
      <c r="C5" s="6">
        <f>SUMIFS(Matrix!$D$2:$D$46,Matrix!$A$2:$A$46,B5)</f>
        <v>7</v>
      </c>
      <c r="D5" s="6">
        <f>SUMIFS(Matrix!$H$2:$H$46,Matrix!$A$2:$A$46,B5)</f>
        <v>11</v>
      </c>
      <c r="E5" s="6">
        <f>COUNTIFS(Matrix!$A$2:$A$46,B5,Matrix!$D$2:$D$46,1,Matrix!$H$2:$H$46,1)</f>
        <v>6</v>
      </c>
      <c r="F5" s="6">
        <f t="shared" si="0"/>
        <v>1</v>
      </c>
      <c r="G5" s="6">
        <f t="shared" si="1"/>
        <v>5</v>
      </c>
      <c r="H5" s="7">
        <f t="shared" si="2"/>
        <v>0.5</v>
      </c>
      <c r="I5" s="5" t="s">
        <v>94</v>
      </c>
    </row>
    <row r="6" spans="1:9" x14ac:dyDescent="0.3">
      <c r="A6" s="5" t="s">
        <v>93</v>
      </c>
      <c r="B6" s="5" t="s">
        <v>45</v>
      </c>
      <c r="C6" s="6">
        <f>SUMIFS(Matrix!$D$2:$D$46,Matrix!$A$2:$A$46,B6)</f>
        <v>5</v>
      </c>
      <c r="D6" s="6">
        <f>SUMIFS(Matrix!$H$2:$H$46,Matrix!$A$2:$A$46,B6)</f>
        <v>5</v>
      </c>
      <c r="E6" s="6">
        <f>COUNTIFS(Matrix!$A$2:$A$46,B6,Matrix!$D$2:$D$46,1,Matrix!$H$2:$H$46,1)</f>
        <v>4</v>
      </c>
      <c r="F6" s="6">
        <f t="shared" si="0"/>
        <v>1</v>
      </c>
      <c r="G6" s="6">
        <f t="shared" si="1"/>
        <v>1</v>
      </c>
      <c r="H6" s="7">
        <f t="shared" si="2"/>
        <v>0.66666666666666663</v>
      </c>
      <c r="I6" s="5" t="s">
        <v>95</v>
      </c>
    </row>
    <row r="7" spans="1:9" x14ac:dyDescent="0.3">
      <c r="A7" s="5" t="s">
        <v>93</v>
      </c>
      <c r="B7" s="5" t="s">
        <v>57</v>
      </c>
      <c r="C7" s="6">
        <f>SUMIFS(Matrix!$D$2:$D$46,Matrix!$A$2:$A$46,B7)</f>
        <v>10</v>
      </c>
      <c r="D7" s="6">
        <f>SUMIFS(Matrix!$H$2:$H$46,Matrix!$A$2:$A$46,B7)</f>
        <v>10</v>
      </c>
      <c r="E7" s="6">
        <f>COUNTIFS(Matrix!$A$2:$A$46,B7,Matrix!$D$2:$D$46,1,Matrix!$H$2:$H$46,1)</f>
        <v>5</v>
      </c>
      <c r="F7" s="6">
        <f t="shared" si="0"/>
        <v>5</v>
      </c>
      <c r="G7" s="6">
        <f t="shared" si="1"/>
        <v>5</v>
      </c>
      <c r="H7" s="7">
        <f t="shared" si="2"/>
        <v>0.33333333333333331</v>
      </c>
      <c r="I7" s="5" t="s">
        <v>96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7"/>
  <sheetViews>
    <sheetView zoomScaleNormal="100" workbookViewId="0"/>
  </sheetViews>
  <sheetFormatPr defaultColWidth="8.6640625" defaultRowHeight="14.4" x14ac:dyDescent="0.3"/>
  <cols>
    <col min="1" max="1" width="12" customWidth="1"/>
    <col min="2" max="2" width="20" customWidth="1"/>
    <col min="3" max="3" width="11" customWidth="1"/>
    <col min="4" max="4" width="13" customWidth="1"/>
    <col min="5" max="5" width="11" customWidth="1"/>
    <col min="6" max="6" width="13" customWidth="1"/>
    <col min="7" max="7" width="14" customWidth="1"/>
    <col min="8" max="8" width="18" customWidth="1"/>
  </cols>
  <sheetData>
    <row r="1" spans="1:8" ht="31.5" customHeight="1" x14ac:dyDescent="0.3">
      <c r="A1" s="1" t="s">
        <v>97</v>
      </c>
      <c r="B1" s="1" t="s">
        <v>81</v>
      </c>
      <c r="C1" s="1" t="s">
        <v>98</v>
      </c>
      <c r="D1" s="1" t="s">
        <v>99</v>
      </c>
      <c r="E1" s="1" t="s">
        <v>100</v>
      </c>
      <c r="F1" s="1" t="s">
        <v>101</v>
      </c>
      <c r="G1" s="1" t="s">
        <v>102</v>
      </c>
      <c r="H1" s="1" t="s">
        <v>103</v>
      </c>
    </row>
    <row r="2" spans="1:8" x14ac:dyDescent="0.3">
      <c r="A2" s="5" t="s">
        <v>104</v>
      </c>
      <c r="B2" s="5" t="s">
        <v>13</v>
      </c>
      <c r="C2" s="6">
        <f>COUNTIFS(Matrix!$A$2:$A$46,B2,Matrix!$K$2:$K$46,1)</f>
        <v>5</v>
      </c>
      <c r="D2" s="6">
        <f>COUNTIFS(Matrix!$A$2:$A$46,B2,Matrix!$K$2:$K$46,2)</f>
        <v>5</v>
      </c>
      <c r="E2" s="6">
        <f>COUNTIFS(Matrix!$A$2:$A$46,B2,Matrix!$K$2:$K$46,3)</f>
        <v>2</v>
      </c>
      <c r="F2" s="6">
        <f t="shared" ref="F2:F7" si="0">SUM(C2:E2)</f>
        <v>12</v>
      </c>
      <c r="G2" s="7">
        <f t="shared" ref="G2:G7" si="1">IF(F2=0,0,E2/F2)</f>
        <v>0.16666666666666666</v>
      </c>
      <c r="H2" s="8">
        <f>IFERROR(AVERAGEIFS(Explanations!$H$2:$H$12,Explanations!$A$2:$A$12,A2,Explanations!$B$2:$B$12,B2),"n/a")</f>
        <v>3</v>
      </c>
    </row>
    <row r="3" spans="1:8" x14ac:dyDescent="0.3">
      <c r="A3" s="5" t="s">
        <v>104</v>
      </c>
      <c r="B3" s="5" t="s">
        <v>45</v>
      </c>
      <c r="C3" s="6">
        <f>COUNTIFS(Matrix!$A$2:$A$46,B3,Matrix!$K$2:$K$46,1)</f>
        <v>0</v>
      </c>
      <c r="D3" s="6">
        <f>COUNTIFS(Matrix!$A$2:$A$46,B3,Matrix!$K$2:$K$46,2)</f>
        <v>0</v>
      </c>
      <c r="E3" s="6">
        <f>COUNTIFS(Matrix!$A$2:$A$46,B3,Matrix!$K$2:$K$46,3)</f>
        <v>1</v>
      </c>
      <c r="F3" s="6">
        <f t="shared" si="0"/>
        <v>1</v>
      </c>
      <c r="G3" s="7">
        <f t="shared" si="1"/>
        <v>1</v>
      </c>
      <c r="H3" s="8">
        <f>IFERROR(AVERAGEIFS(Explanations!$H$2:$H$12,Explanations!$A$2:$A$12,A3,Explanations!$B$2:$B$12,B3),"n/a")</f>
        <v>3</v>
      </c>
    </row>
    <row r="4" spans="1:8" x14ac:dyDescent="0.3">
      <c r="A4" s="5" t="s">
        <v>104</v>
      </c>
      <c r="B4" s="5" t="s">
        <v>57</v>
      </c>
      <c r="C4" s="6">
        <f>COUNTIFS(Matrix!$A$2:$A$46,B4,Matrix!$K$2:$K$46,1)</f>
        <v>7</v>
      </c>
      <c r="D4" s="6">
        <f>COUNTIFS(Matrix!$A$2:$A$46,B4,Matrix!$K$2:$K$46,2)</f>
        <v>0</v>
      </c>
      <c r="E4" s="6">
        <f>COUNTIFS(Matrix!$A$2:$A$46,B4,Matrix!$K$2:$K$46,3)</f>
        <v>1</v>
      </c>
      <c r="F4" s="6">
        <f t="shared" si="0"/>
        <v>8</v>
      </c>
      <c r="G4" s="7">
        <f t="shared" si="1"/>
        <v>0.125</v>
      </c>
      <c r="H4" s="8">
        <f>IFERROR(AVERAGEIFS(Explanations!$H$2:$H$12,Explanations!$A$2:$A$12,A4,Explanations!$B$2:$B$12,B4),"n/a")</f>
        <v>3</v>
      </c>
    </row>
    <row r="5" spans="1:8" x14ac:dyDescent="0.3">
      <c r="A5" s="5" t="s">
        <v>105</v>
      </c>
      <c r="B5" s="5" t="s">
        <v>13</v>
      </c>
      <c r="C5" s="6">
        <f>COUNTIFS(Matrix!$A$2:$A$46,B5,Matrix!$L$2:$L$46,1)</f>
        <v>4</v>
      </c>
      <c r="D5" s="6">
        <f>COUNTIFS(Matrix!$A$2:$A$46,B5,Matrix!$L$2:$L$46,2)</f>
        <v>7</v>
      </c>
      <c r="E5" s="6">
        <f>COUNTIFS(Matrix!$A$2:$A$46,B5,Matrix!$L$2:$L$46,3)</f>
        <v>3</v>
      </c>
      <c r="F5" s="6">
        <f t="shared" si="0"/>
        <v>14</v>
      </c>
      <c r="G5" s="7">
        <f t="shared" si="1"/>
        <v>0.21428571428571427</v>
      </c>
      <c r="H5" s="8">
        <f>IFERROR(AVERAGEIFS(Explanations!$H$2:$H$12,Explanations!$A$2:$A$12,A5,Explanations!$B$2:$B$12,B5),"n/a")</f>
        <v>3</v>
      </c>
    </row>
    <row r="6" spans="1:8" x14ac:dyDescent="0.3">
      <c r="A6" s="5" t="s">
        <v>105</v>
      </c>
      <c r="B6" s="5" t="s">
        <v>45</v>
      </c>
      <c r="C6" s="6">
        <f>COUNTIFS(Matrix!$A$2:$A$46,B6,Matrix!$L$2:$L$46,1)</f>
        <v>3</v>
      </c>
      <c r="D6" s="6">
        <f>COUNTIFS(Matrix!$A$2:$A$46,B6,Matrix!$L$2:$L$46,2)</f>
        <v>0</v>
      </c>
      <c r="E6" s="6">
        <f>COUNTIFS(Matrix!$A$2:$A$46,B6,Matrix!$L$2:$L$46,3)</f>
        <v>5</v>
      </c>
      <c r="F6" s="6">
        <f t="shared" si="0"/>
        <v>8</v>
      </c>
      <c r="G6" s="7">
        <f t="shared" si="1"/>
        <v>0.625</v>
      </c>
      <c r="H6" s="8">
        <f>IFERROR(AVERAGEIFS(Explanations!$H$2:$H$12,Explanations!$A$2:$A$12,A6,Explanations!$B$2:$B$12,B6),"n/a")</f>
        <v>3</v>
      </c>
    </row>
    <row r="7" spans="1:8" x14ac:dyDescent="0.3">
      <c r="A7" s="5" t="s">
        <v>105</v>
      </c>
      <c r="B7" s="5" t="s">
        <v>57</v>
      </c>
      <c r="C7" s="6">
        <f>COUNTIFS(Matrix!$A$2:$A$46,B7,Matrix!$L$2:$L$46,1)</f>
        <v>9</v>
      </c>
      <c r="D7" s="6">
        <f>COUNTIFS(Matrix!$A$2:$A$46,B7,Matrix!$L$2:$L$46,2)</f>
        <v>1</v>
      </c>
      <c r="E7" s="6">
        <f>COUNTIFS(Matrix!$A$2:$A$46,B7,Matrix!$L$2:$L$46,3)</f>
        <v>4</v>
      </c>
      <c r="F7" s="6">
        <f t="shared" si="0"/>
        <v>14</v>
      </c>
      <c r="G7" s="7">
        <f t="shared" si="1"/>
        <v>0.2857142857142857</v>
      </c>
      <c r="H7" s="8">
        <f>IFERROR(AVERAGEIFS(Explanations!$H$2:$H$12,Explanations!$A$2:$A$12,A7,Explanations!$B$2:$B$12,B7),"n/a")</f>
        <v>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zoomScaleNormal="100" workbookViewId="0"/>
  </sheetViews>
  <sheetFormatPr defaultColWidth="8.6640625" defaultRowHeight="14.4" x14ac:dyDescent="0.3"/>
  <cols>
    <col min="1" max="1" width="11" customWidth="1"/>
    <col min="2" max="2" width="20" customWidth="1"/>
    <col min="3" max="3" width="14" customWidth="1"/>
    <col min="4" max="4" width="52" customWidth="1"/>
    <col min="5" max="7" width="12" customWidth="1"/>
    <col min="8" max="8" width="9" customWidth="1"/>
    <col min="9" max="9" width="90" customWidth="1"/>
  </cols>
  <sheetData>
    <row r="1" spans="1:9" ht="45" customHeight="1" x14ac:dyDescent="0.3">
      <c r="A1" s="1" t="s">
        <v>97</v>
      </c>
      <c r="B1" s="1" t="s">
        <v>0</v>
      </c>
      <c r="C1" s="1" t="s">
        <v>106</v>
      </c>
      <c r="D1" s="1" t="s">
        <v>2</v>
      </c>
      <c r="E1" s="1" t="s">
        <v>107</v>
      </c>
      <c r="F1" s="1" t="s">
        <v>108</v>
      </c>
      <c r="G1" s="1" t="s">
        <v>109</v>
      </c>
      <c r="H1" s="1" t="s">
        <v>110</v>
      </c>
      <c r="I1" s="1" t="s">
        <v>111</v>
      </c>
    </row>
    <row r="2" spans="1:9" ht="26.4" x14ac:dyDescent="0.3">
      <c r="A2" s="9" t="s">
        <v>104</v>
      </c>
      <c r="B2" s="9" t="s">
        <v>13</v>
      </c>
      <c r="C2" s="10">
        <v>1</v>
      </c>
      <c r="D2" s="9" t="s">
        <v>17</v>
      </c>
      <c r="E2" s="10">
        <v>1</v>
      </c>
      <c r="F2" s="10">
        <v>1</v>
      </c>
      <c r="G2" s="10">
        <v>1</v>
      </c>
      <c r="H2" s="10">
        <f t="shared" ref="H2:H12" si="0">SUM(E2:G2)</f>
        <v>3</v>
      </c>
      <c r="I2" s="9" t="s">
        <v>112</v>
      </c>
    </row>
    <row r="3" spans="1:9" ht="26.4" x14ac:dyDescent="0.3">
      <c r="A3" s="9" t="s">
        <v>104</v>
      </c>
      <c r="B3" s="9" t="s">
        <v>13</v>
      </c>
      <c r="C3" s="10">
        <v>2</v>
      </c>
      <c r="D3" s="9" t="s">
        <v>113</v>
      </c>
      <c r="E3" s="10">
        <v>1</v>
      </c>
      <c r="F3" s="10">
        <v>1</v>
      </c>
      <c r="G3" s="10">
        <v>1</v>
      </c>
      <c r="H3" s="10">
        <f t="shared" si="0"/>
        <v>3</v>
      </c>
      <c r="I3" s="9" t="s">
        <v>114</v>
      </c>
    </row>
    <row r="4" spans="1:9" ht="26.4" x14ac:dyDescent="0.3">
      <c r="A4" s="9" t="s">
        <v>104</v>
      </c>
      <c r="B4" s="9" t="s">
        <v>45</v>
      </c>
      <c r="C4" s="10">
        <v>1</v>
      </c>
      <c r="D4" s="9" t="s">
        <v>48</v>
      </c>
      <c r="E4" s="10">
        <v>1</v>
      </c>
      <c r="F4" s="10">
        <v>1</v>
      </c>
      <c r="G4" s="10">
        <v>1</v>
      </c>
      <c r="H4" s="10">
        <f t="shared" si="0"/>
        <v>3</v>
      </c>
      <c r="I4" s="9" t="s">
        <v>115</v>
      </c>
    </row>
    <row r="5" spans="1:9" ht="26.4" x14ac:dyDescent="0.3">
      <c r="A5" s="9" t="s">
        <v>104</v>
      </c>
      <c r="B5" s="9" t="s">
        <v>57</v>
      </c>
      <c r="C5" s="10">
        <v>1</v>
      </c>
      <c r="D5" s="9" t="s">
        <v>116</v>
      </c>
      <c r="E5" s="10">
        <v>1</v>
      </c>
      <c r="F5" s="10">
        <v>1</v>
      </c>
      <c r="G5" s="10">
        <v>1</v>
      </c>
      <c r="H5" s="10">
        <f t="shared" si="0"/>
        <v>3</v>
      </c>
      <c r="I5" s="9" t="s">
        <v>117</v>
      </c>
    </row>
    <row r="6" spans="1:9" ht="26.4" x14ac:dyDescent="0.3">
      <c r="A6" s="9" t="s">
        <v>104</v>
      </c>
      <c r="B6" s="9" t="s">
        <v>57</v>
      </c>
      <c r="C6" s="10">
        <v>2</v>
      </c>
      <c r="D6" s="9" t="s">
        <v>118</v>
      </c>
      <c r="E6" s="10">
        <v>1</v>
      </c>
      <c r="F6" s="10">
        <v>1</v>
      </c>
      <c r="G6" s="10">
        <v>1</v>
      </c>
      <c r="H6" s="10">
        <f t="shared" si="0"/>
        <v>3</v>
      </c>
      <c r="I6" s="9" t="s">
        <v>119</v>
      </c>
    </row>
    <row r="7" spans="1:9" ht="26.4" x14ac:dyDescent="0.3">
      <c r="A7" s="9" t="s">
        <v>105</v>
      </c>
      <c r="B7" s="9" t="s">
        <v>13</v>
      </c>
      <c r="C7" s="10">
        <v>1</v>
      </c>
      <c r="D7" s="9" t="s">
        <v>17</v>
      </c>
      <c r="E7" s="10">
        <v>1</v>
      </c>
      <c r="F7" s="10">
        <v>1</v>
      </c>
      <c r="G7" s="10">
        <v>1</v>
      </c>
      <c r="H7" s="10">
        <f t="shared" si="0"/>
        <v>3</v>
      </c>
      <c r="I7" s="9" t="s">
        <v>120</v>
      </c>
    </row>
    <row r="8" spans="1:9" ht="26.4" x14ac:dyDescent="0.3">
      <c r="A8" s="9" t="s">
        <v>105</v>
      </c>
      <c r="B8" s="9" t="s">
        <v>13</v>
      </c>
      <c r="C8" s="10">
        <v>2</v>
      </c>
      <c r="D8" s="9" t="s">
        <v>121</v>
      </c>
      <c r="E8" s="10">
        <v>1</v>
      </c>
      <c r="F8" s="10">
        <v>1</v>
      </c>
      <c r="G8" s="10">
        <v>1</v>
      </c>
      <c r="H8" s="10">
        <f t="shared" si="0"/>
        <v>3</v>
      </c>
      <c r="I8" s="9" t="s">
        <v>122</v>
      </c>
    </row>
    <row r="9" spans="1:9" ht="26.4" x14ac:dyDescent="0.3">
      <c r="A9" s="9" t="s">
        <v>105</v>
      </c>
      <c r="B9" s="9" t="s">
        <v>45</v>
      </c>
      <c r="C9" s="10">
        <v>1</v>
      </c>
      <c r="D9" s="9" t="s">
        <v>46</v>
      </c>
      <c r="E9" s="10">
        <v>1</v>
      </c>
      <c r="F9" s="10">
        <v>1</v>
      </c>
      <c r="G9" s="10">
        <v>1</v>
      </c>
      <c r="H9" s="10">
        <f t="shared" si="0"/>
        <v>3</v>
      </c>
      <c r="I9" s="9" t="s">
        <v>123</v>
      </c>
    </row>
    <row r="10" spans="1:9" ht="26.4" x14ac:dyDescent="0.3">
      <c r="A10" s="9" t="s">
        <v>105</v>
      </c>
      <c r="B10" s="9" t="s">
        <v>45</v>
      </c>
      <c r="C10" s="10">
        <v>2</v>
      </c>
      <c r="D10" s="9" t="s">
        <v>47</v>
      </c>
      <c r="E10" s="10">
        <v>1</v>
      </c>
      <c r="F10" s="10">
        <v>1</v>
      </c>
      <c r="G10" s="10">
        <v>1</v>
      </c>
      <c r="H10" s="10">
        <f t="shared" si="0"/>
        <v>3</v>
      </c>
      <c r="I10" s="9" t="s">
        <v>124</v>
      </c>
    </row>
    <row r="11" spans="1:9" ht="26.4" x14ac:dyDescent="0.3">
      <c r="A11" s="9" t="s">
        <v>105</v>
      </c>
      <c r="B11" s="9" t="s">
        <v>57</v>
      </c>
      <c r="C11" s="10">
        <v>1</v>
      </c>
      <c r="D11" s="9" t="s">
        <v>121</v>
      </c>
      <c r="E11" s="10">
        <v>1</v>
      </c>
      <c r="F11" s="10">
        <v>0</v>
      </c>
      <c r="G11" s="10">
        <v>0</v>
      </c>
      <c r="H11" s="10">
        <f t="shared" si="0"/>
        <v>1</v>
      </c>
      <c r="I11" s="9" t="s">
        <v>125</v>
      </c>
    </row>
    <row r="12" spans="1:9" x14ac:dyDescent="0.3">
      <c r="A12" s="9" t="s">
        <v>105</v>
      </c>
      <c r="B12" s="9" t="s">
        <v>57</v>
      </c>
      <c r="C12" s="10">
        <v>2</v>
      </c>
      <c r="D12" s="9" t="s">
        <v>126</v>
      </c>
      <c r="E12" s="10">
        <v>1</v>
      </c>
      <c r="F12" s="10">
        <v>1</v>
      </c>
      <c r="G12" s="10">
        <v>1</v>
      </c>
      <c r="H12" s="10">
        <f t="shared" si="0"/>
        <v>3</v>
      </c>
      <c r="I12" s="9" t="s">
        <v>127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9"/>
  <sheetViews>
    <sheetView tabSelected="1" zoomScaleNormal="100" workbookViewId="0">
      <selection activeCell="A16" sqref="A16"/>
    </sheetView>
  </sheetViews>
  <sheetFormatPr defaultColWidth="8.6640625" defaultRowHeight="14.4" x14ac:dyDescent="0.3"/>
  <cols>
    <col min="1" max="1" width="140" customWidth="1"/>
  </cols>
  <sheetData>
    <row r="1" spans="1:1" x14ac:dyDescent="0.3">
      <c r="A1" s="11" t="s">
        <v>136</v>
      </c>
    </row>
    <row r="2" spans="1:1" x14ac:dyDescent="0.3">
      <c r="A2" s="12" t="s">
        <v>128</v>
      </c>
    </row>
    <row r="3" spans="1:1" ht="26.4" x14ac:dyDescent="0.3">
      <c r="A3" s="12" t="s">
        <v>129</v>
      </c>
    </row>
    <row r="4" spans="1:1" ht="26.4" x14ac:dyDescent="0.3">
      <c r="A4" s="12" t="s">
        <v>130</v>
      </c>
    </row>
    <row r="5" spans="1:1" x14ac:dyDescent="0.3">
      <c r="A5" s="12" t="s">
        <v>131</v>
      </c>
    </row>
    <row r="6" spans="1:1" x14ac:dyDescent="0.3">
      <c r="A6" s="12" t="s">
        <v>132</v>
      </c>
    </row>
    <row r="7" spans="1:1" x14ac:dyDescent="0.3">
      <c r="A7" s="12" t="s">
        <v>133</v>
      </c>
    </row>
    <row r="8" spans="1:1" x14ac:dyDescent="0.3">
      <c r="A8" s="12" t="s">
        <v>134</v>
      </c>
    </row>
    <row r="9" spans="1:1" x14ac:dyDescent="0.3">
      <c r="A9" s="12" t="s">
        <v>135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Matrix</vt:lpstr>
      <vt:lpstr>Table1</vt:lpstr>
      <vt:lpstr>Table2</vt:lpstr>
      <vt:lpstr>Explanations</vt:lpstr>
      <vt:lpstr>Rules &amp; flags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MUHANNAD YOUSEF ALMELAIFI</cp:lastModifiedBy>
  <cp:revision>0</cp:revision>
  <dcterms:created xsi:type="dcterms:W3CDTF">2026-10-21T00:09:13Z</dcterms:created>
  <dcterms:modified xsi:type="dcterms:W3CDTF">2026-10-21T16:09:22Z</dcterms:modified>
  <dc:language>en-US</dc:language>
</cp:coreProperties>
</file>