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Table1" sheetId="2" state="visible" r:id="rId4"/>
    <sheet name="Table2" sheetId="3" state="visible" r:id="rId5"/>
    <sheet name="Explanations" sheetId="4" state="visible" r:id="rId6"/>
    <sheet name="Rules &amp; flags" sheetId="5" state="visible" r:id="rId7"/>
  </sheets>
  <definedNames>
    <definedName function="false" hidden="true" localSheetId="0" name="_xlnm._FilterDatabase" vbProcedure="false">Matrix!$A$1:$M$46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<sst xmlns="http://schemas.openxmlformats.org/spreadsheetml/2006/main" count="263" uniqueCount="137">
  <si>
    <t xml:space="preserve">Smell</t>
  </si>
  <si>
    <t xml:space="preserve">File</t>
  </si>
  <si>
    <t xml:space="preserve">Code unit</t>
  </si>
  <si>
    <t xml:space="preserve">PMD</t>
  </si>
  <si>
    <t xml:space="preserve">ChatGPT R1</t>
  </si>
  <si>
    <t xml:space="preserve">ChatGPT R2</t>
  </si>
  <si>
    <t xml:space="preserve">ChatGPT R3</t>
  </si>
  <si>
    <t xml:space="preserve">DeepSeek R1</t>
  </si>
  <si>
    <t xml:space="preserve">DeepSeek R2</t>
  </si>
  <si>
    <t xml:space="preserve">DeepSeek R3</t>
  </si>
  <si>
    <t xml:space="preserve">ChatGPT runs (of 3)</t>
  </si>
  <si>
    <t xml:space="preserve">DeepSeek runs (of 3)</t>
  </si>
  <si>
    <t xml:space="preserve">Notes</t>
  </si>
  <si>
    <t xml:space="preserve">Long Method</t>
  </si>
  <si>
    <t xml:space="preserve">cli/CommandLine.java</t>
  </si>
  <si>
    <t xml:space="preserve">CommandLine.getParsedOptionValues(Option,Supplier&lt;T[]&gt;)</t>
  </si>
  <si>
    <t xml:space="preserve">cli/DefaultParser.java</t>
  </si>
  <si>
    <t xml:space="preserve">DefaultParser.handleShortAndLongOption(String)</t>
  </si>
  <si>
    <t xml:space="preserve">DefaultParser.handleToken(String)</t>
  </si>
  <si>
    <t xml:space="preserve">DefaultParser.parse(Options,Properties,NonOptionAction,String[])</t>
  </si>
  <si>
    <t xml:space="preserve">cli/GnuParser.java</t>
  </si>
  <si>
    <t xml:space="preserve">GnuParser.flatten(Options,String[],boolean)</t>
  </si>
  <si>
    <t xml:space="preserve">cli/HelpFormatter.java</t>
  </si>
  <si>
    <t xml:space="preserve">HelpFormatter.appendOptions(Appendable,int,Options,int,int)</t>
  </si>
  <si>
    <t xml:space="preserve">HelpFormatter.appendWrappedText(Appendable,int,int,String)</t>
  </si>
  <si>
    <t xml:space="preserve">HelpFormatter.findWrapPos(String,int,int)</t>
  </si>
  <si>
    <t xml:space="preserve">HelpFormatter.printHelp(PrintWriter,int,String,String,Options,int,int,String,boolean)</t>
  </si>
  <si>
    <t xml:space="preserve">HelpFormatter.printUsage(PrintWriter,int,String,Options)</t>
  </si>
  <si>
    <t xml:space="preserve">cli/Parser.java</t>
  </si>
  <si>
    <t xml:space="preserve">Parser.parse(Options,String[],Properties,boolean)</t>
  </si>
  <si>
    <t xml:space="preserve">Parser.processProperties(Properties)</t>
  </si>
  <si>
    <t xml:space="preserve">cli/PatternOptionBuilder.java</t>
  </si>
  <si>
    <t xml:space="preserve">PatternOptionBuilder.parsePattern(String)</t>
  </si>
  <si>
    <t xml:space="preserve">cli/PosixParser.java</t>
  </si>
  <si>
    <t xml:space="preserve">PosixParser.flatten(Options,String[],boolean)</t>
  </si>
  <si>
    <t xml:space="preserve">cli/TypeHandler.java</t>
  </si>
  <si>
    <t xml:space="preserve">TypeHandler.putDefaultMap(Map)</t>
  </si>
  <si>
    <t xml:space="preserve">cli/help/HelpFormatter.java</t>
  </si>
  <si>
    <t xml:space="preserve">HelpFormatter.getTableDefinition(Iterable&lt;Option&gt;)</t>
  </si>
  <si>
    <t xml:space="preserve">Different class from cli/HelpFormatter.java (same name, help sub-package).</t>
  </si>
  <si>
    <t xml:space="preserve">cli/help/TextHelpAppendable.java</t>
  </si>
  <si>
    <t xml:space="preserve">TextHelpAppendable.adjustTableFormat(TableDefinition)</t>
  </si>
  <si>
    <t xml:space="preserve">ChatGPT run 3 evidence is generic (no specific code elements quoted).</t>
  </si>
  <si>
    <t xml:space="preserve">cli/help/TextStyle.java</t>
  </si>
  <si>
    <t xml:space="preserve">TextStyle.pad(boolean,CharSequence)</t>
  </si>
  <si>
    <t xml:space="preserve">God Class</t>
  </si>
  <si>
    <t xml:space="preserve">CommandLine</t>
  </si>
  <si>
    <t xml:space="preserve">DefaultParser</t>
  </si>
  <si>
    <t xml:space="preserve">HelpFormatter</t>
  </si>
  <si>
    <t xml:space="preserve">cli/Option.java</t>
  </si>
  <si>
    <t xml:space="preserve">Option</t>
  </si>
  <si>
    <t xml:space="preserve">cli/Options.java</t>
  </si>
  <si>
    <t xml:space="preserve">Options</t>
  </si>
  <si>
    <t xml:space="preserve">Parser</t>
  </si>
  <si>
    <t xml:space="preserve">PatternOptionBuilder</t>
  </si>
  <si>
    <t xml:space="preserve">TypeHandler</t>
  </si>
  <si>
    <t xml:space="preserve">TextHelpAppendable</t>
  </si>
  <si>
    <t xml:space="preserve">Long Parameter List</t>
  </si>
  <si>
    <t xml:space="preserve">Parameter type written "A" by some runs / PMD (generic &lt;A extends Appendable&gt;); treated as Appendable.</t>
  </si>
  <si>
    <t xml:space="preserve">HelpFormatter.printHelp(PrintWriter,int,String,String,Options,int,int,String)</t>
  </si>
  <si>
    <t xml:space="preserve">HelpFormatter.printHelp(String,String,Options,String,boolean)</t>
  </si>
  <si>
    <t xml:space="preserve">HelpFormatter.printHelp(int,String,String,Options,String)</t>
  </si>
  <si>
    <t xml:space="preserve">HelpFormatter.printHelp(int,String,String,Options,String,boolean)</t>
  </si>
  <si>
    <t xml:space="preserve">HelpFormatter.printOptions(PrintWriter,int,Options,int,int)</t>
  </si>
  <si>
    <t xml:space="preserve">HelpFormatter.renderOptions(StringBuffer,int,Options,int,int)</t>
  </si>
  <si>
    <t xml:space="preserve">Option(String,String,boolean,String)</t>
  </si>
  <si>
    <t xml:space="preserve">Constructor. DS run 1 printed a garbled "Code unit" line for it (kept as one detection). LLMs call it borderline (4 params).</t>
  </si>
  <si>
    <t xml:space="preserve">Options.addOption(String,String,boolean,String)</t>
  </si>
  <si>
    <t xml:space="preserve">Options.addOption(String,boolean,String)</t>
  </si>
  <si>
    <t xml:space="preserve">Options.addRequiredOption(String,String,boolean,String)</t>
  </si>
  <si>
    <t xml:space="preserve">cli/help/AbstractHelpFormatter.java</t>
  </si>
  <si>
    <t xml:space="preserve">AbstractHelpFormatter.printHelp(String,String,Iterable&lt;Option&gt;,String,boolean)</t>
  </si>
  <si>
    <t xml:space="preserve">AbstractHelpFormatter.printHelp(String,String,Options,String,boolean)</t>
  </si>
  <si>
    <t xml:space="preserve">cli/help/OptionFormatter.java</t>
  </si>
  <si>
    <t xml:space="preserve">OptionFormatter.Builder.setArgumentNameDelimiters(String,String)</t>
  </si>
  <si>
    <t xml:space="preserve">DS run 2 listed this and setOptionalDelimiters as ONE entry; split into 2 units here. 2 params, LLM calls it low-confidence.</t>
  </si>
  <si>
    <t xml:space="preserve">OptionFormatter.Builder.setOptionalDelimiters(String,String)</t>
  </si>
  <si>
    <t xml:space="preserve">See note on setArgumentNameDelimiters (split from a combined entry).</t>
  </si>
  <si>
    <t xml:space="preserve">cli/help/TableDefinition.java</t>
  </si>
  <si>
    <t xml:space="preserve">TableDefinition.from(String,List&lt;TextStyle&gt;,List&lt;String&gt;,Iterable&lt;List&lt;String&gt;&gt;)</t>
  </si>
  <si>
    <t xml:space="preserve">Comparison Pair</t>
  </si>
  <si>
    <t xml:space="preserve">Smell Type</t>
  </si>
  <si>
    <t xml:space="preserve">Static Detections</t>
  </si>
  <si>
    <t xml:space="preserve">LLM Detections (Run 1)</t>
  </si>
  <si>
    <t xml:space="preserve">Common</t>
  </si>
  <si>
    <t xml:space="preserve">Static Only</t>
  </si>
  <si>
    <t xml:space="preserve">LLM Only</t>
  </si>
  <si>
    <t xml:space="preserve">Overlap (%)</t>
  </si>
  <si>
    <t xml:space="preserve">Comments</t>
  </si>
  <si>
    <t xml:space="preserve">PMD vs ChatGPT (Run 1)</t>
  </si>
  <si>
    <t xml:space="preserve">Missed Parser.parse and TextHelpAppendable.adjustTableFormat; added printUsage (NCSS 18) and parsePattern (NCSS 28), both under PMD's threshold of 30.</t>
  </si>
  <si>
    <t xml:space="preserve">Flagged only HelpFormatter. PMD-only: CommandLine, DefaultParser, Option, Parser.</t>
  </si>
  <si>
    <t xml:space="preserve">Flagged only the 6-, 8- and 9-parameter printHelp overloads. PMD also flags seven 5-parameter methods, none reported.</t>
  </si>
  <si>
    <t xml:space="preserve">PMD vs DeepSeek (Run 1)</t>
  </si>
  <si>
    <t xml:space="preserve">Missed only TextStyle.pad; added 5 methods below PMD's threshold (printHelp 9-param NCSS 12, printUsage 18, findWrapPos 17, DefaultParser.parse 16, parsePattern 28).</t>
  </si>
  <si>
    <t xml:space="preserve">Matched 4 of 5; missed Parser; added TextHelpAppendable, which PMD did not flag.</t>
  </si>
  <si>
    <t xml:space="preserve">Matched 5 of 10 (all printHelp overloads and appendOptions). Added 3- and 4-parameter methods (Options.addOption, Option ctor, DefaultParser.parse); missed printOptions, renderOptions and both AbstractHelpFormatter methods.</t>
  </si>
  <si>
    <t xml:space="preserve">LLM</t>
  </si>
  <si>
    <t xml:space="preserve">1 Run Only</t>
  </si>
  <si>
    <t xml:space="preserve">Exactly 2 Runs</t>
  </si>
  <si>
    <t xml:space="preserve">All 3 Runs</t>
  </si>
  <si>
    <t xml:space="preserve">Total Distinct</t>
  </si>
  <si>
    <t xml:space="preserve">Consistency (%)</t>
  </si>
  <si>
    <t xml:space="preserve">Mean Explanation Quality (/3)</t>
  </si>
  <si>
    <t xml:space="preserve">ChatGPT</t>
  </si>
  <si>
    <t xml:space="preserve">DeepSeek</t>
  </si>
  <si>
    <t xml:space="preserve">Detection # (Run 1, source order)</t>
  </si>
  <si>
    <t xml:space="preserve">Code reference (0/1)</t>
  </si>
  <si>
    <t xml:space="preserve">Smell characteristic (0/1)</t>
  </si>
  <si>
    <t xml:space="preserve">Evidence-to-smell link (0/1)</t>
  </si>
  <si>
    <t xml:space="preserve">Score (/3)</t>
  </si>
  <si>
    <t xml:space="preserve">Rationale</t>
  </si>
  <si>
    <t xml:space="preserve">Cites handleOption(), handleLongOptionWithoutEqual(), handleConcatenatedOptions(), currentOption.processValue(); says length plus many token-parsing cases make control flow hard to follow.</t>
  </si>
  <si>
    <t xml:space="preserve">GnuParser.flatten(Options, String[], boolean)</t>
  </si>
  <si>
    <t xml:space="preserve">Cites eatTheRest, indexOfEqual(), options.hasOption(); says it combines traversal, recognition and splitting, so is more complex than a single operation.</t>
  </si>
  <si>
    <t xml:space="preserve">Lists printHelp/printUsage/findWrapPos, fields defaultWidth/optionComparator; says formatting, layout, wrapping and output are combined in one large class.</t>
  </si>
  <si>
    <t xml:space="preserve">HelpFormatter.printHelp(int, String, String, Options, String, boolean)</t>
  </si>
  <si>
    <t xml:space="preserve">Names all six parameters; says six separate inputs exceed a comfortable signature size.</t>
  </si>
  <si>
    <t xml:space="preserve">HelpFormatter.printHelp(PrintWriter, int, String, String, Options, int, int, String)</t>
  </si>
  <si>
    <t xml:space="preserve">Names all eight parameters; says independent arguments make the signature cumbersome to call correctly.</t>
  </si>
  <si>
    <t xml:space="preserve">Quotes the actual conditions (token.length() == 1, pos == -1, isJavaProperty...); says many alternative token shapes make the flow long and hard to follow.</t>
  </si>
  <si>
    <t xml:space="preserve">DefaultParser.parse(Options, Properties, NonOptionAction, String...)</t>
  </si>
  <si>
    <t xml:space="preserve">Quotes expectedOpts, setSelected(null), handleToken, checkRequiredArgs; says setup, dispatch, reset, properties and validation are bundled in one body.</t>
  </si>
  <si>
    <t xml:space="preserve">Lists getParsedOptionValue overloads, resolveOption, handleDeprecated; says it covers storage, lookup, typed parsing, properties and iteration.</t>
  </si>
  <si>
    <t xml:space="preserve">Lists fields (cmd, currentOption, skipParsing) and helpers; says it owns classification, matching, bookkeeping, properties and CommandLine construction.</t>
  </si>
  <si>
    <t xml:space="preserve">Names the four parameters, but only says the signature "carries several unrelated concerns"; never says the list is long or hard to call, so no smell characteristic and no link.</t>
  </si>
  <si>
    <t xml:space="preserve">HelpFormatter.appendOptions(A, int, Options, int, int)</t>
  </si>
  <si>
    <t xml:space="preserve">Names the five parameters; says they are passed positionally and make the call hard to interpret.</t>
  </si>
  <si>
    <t xml:space="preserve">Matching rules used (state these in the report)</t>
  </si>
  <si>
    <t xml:space="preserve">1. A detection = one smell reported for one code unit. Units: class for God Class; Class.method(parameter types) for Long Method and Long Parameter List.</t>
  </si>
  <si>
    <t xml:space="preserve">2. Two detections are "the same" only if smell, FILE and code unit (including parameter types) are identical. Overloads such as HelpFormatter.printHelp(...) are different units.</t>
  </si>
  <si>
    <t xml:space="preserve">3. Generic type "A" (A extends Appendable) is treated as Appendable; varargs String... is treated as String[]. cli/HelpFormatter and cli/help/HelpFormatter are different classes.</t>
  </si>
  <si>
    <t xml:space="preserve">4. Every item an LLM listed is counted as a detection, including ones it called borderline or low-confidence.</t>
  </si>
  <si>
    <t xml:space="preserve">5. PMD settings: GodClass default; NcssCount methodReportLevel=30; ExcessiveParameterList minimum=5; run on the comment-stripped sources (34 files).</t>
  </si>
  <si>
    <t xml:space="preserve">6. DeepSeek run 2 listed two Builder setters as one entry; split into two units (code-unit level).</t>
  </si>
  <si>
    <t xml:space="preserve">7. Distinct detections per LLM = union of units across its 3 runs; consistency = detections found in all 3 runs / distinct detections.</t>
  </si>
  <si>
    <t xml:space="preserve">Explanations sheet: scored draft (Claude); the student should review. ChatGPT God Class has one Run 1 detection, so one explanation; 11 explanations in total.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</si>
</sst>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General"/>
    <numFmt numFmtId="167" formatCode="0.0%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D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7" min="5" style="0" width="10"/>
    <col collapsed="false" customWidth="true" hidden="false" outlineLevel="0" max="10" min="8" style="0" width="11"/>
    <col collapsed="false" customWidth="true" hidden="false" outlineLevel="0" max="12" min="11" style="0" width="12"/>
    <col collapsed="false" customWidth="true" hidden="false" outlineLevel="0" max="13" min="13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1</v>
      </c>
      <c r="J2" s="4" t="n">
        <v>1</v>
      </c>
      <c r="K2" s="3" t="n">
        <f aca="false">SUM(E2:G2)</f>
        <v>0</v>
      </c>
      <c r="L2" s="3" t="n">
        <f aca="false">SUM(H2:J2)</f>
        <v>2</v>
      </c>
      <c r="M2" s="2"/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17</v>
      </c>
      <c r="D3" s="4" t="n">
        <v>1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3" t="n">
        <f aca="false">SUM(E3:G3)</f>
        <v>3</v>
      </c>
      <c r="L3" s="3" t="n">
        <f aca="false">SUM(H3:J3)</f>
        <v>3</v>
      </c>
      <c r="M3" s="2"/>
    </row>
    <row r="4" customFormat="false" ht="15" hidden="false" customHeight="false" outlineLevel="0" collapsed="false">
      <c r="A4" s="2" t="s">
        <v>13</v>
      </c>
      <c r="B4" s="2" t="s">
        <v>16</v>
      </c>
      <c r="C4" s="2" t="s">
        <v>18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 t="n">
        <v>1</v>
      </c>
      <c r="J4" s="4" t="n">
        <v>1</v>
      </c>
      <c r="K4" s="3" t="n">
        <f aca="false">SUM(E4:G4)</f>
        <v>0</v>
      </c>
      <c r="L4" s="3" t="n">
        <f aca="false">SUM(H4:J4)</f>
        <v>2</v>
      </c>
      <c r="M4" s="2"/>
    </row>
    <row r="5" customFormat="false" ht="15" hidden="false" customHeight="false" outlineLevel="0" collapsed="false">
      <c r="A5" s="2" t="s">
        <v>13</v>
      </c>
      <c r="B5" s="2" t="s">
        <v>16</v>
      </c>
      <c r="C5" s="2" t="s">
        <v>19</v>
      </c>
      <c r="D5" s="3" t="n">
        <v>0</v>
      </c>
      <c r="E5" s="3" t="n">
        <v>0</v>
      </c>
      <c r="F5" s="3" t="n">
        <v>0</v>
      </c>
      <c r="G5" s="3" t="n">
        <v>0</v>
      </c>
      <c r="H5" s="4" t="n">
        <v>1</v>
      </c>
      <c r="I5" s="4" t="n">
        <v>1</v>
      </c>
      <c r="J5" s="4" t="n">
        <v>1</v>
      </c>
      <c r="K5" s="3" t="n">
        <f aca="false">SUM(E5:G5)</f>
        <v>0</v>
      </c>
      <c r="L5" s="3" t="n">
        <f aca="false">SUM(H5:J5)</f>
        <v>3</v>
      </c>
      <c r="M5" s="2"/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21</v>
      </c>
      <c r="D6" s="4" t="n">
        <v>1</v>
      </c>
      <c r="E6" s="4" t="n">
        <v>1</v>
      </c>
      <c r="F6" s="3" t="n">
        <v>0</v>
      </c>
      <c r="G6" s="4" t="n">
        <v>1</v>
      </c>
      <c r="H6" s="4" t="n">
        <v>1</v>
      </c>
      <c r="I6" s="3" t="n">
        <v>0</v>
      </c>
      <c r="J6" s="4" t="n">
        <v>1</v>
      </c>
      <c r="K6" s="3" t="n">
        <f aca="false">SUM(E6:G6)</f>
        <v>2</v>
      </c>
      <c r="L6" s="3" t="n">
        <f aca="false">SUM(H6:J6)</f>
        <v>2</v>
      </c>
      <c r="M6" s="2"/>
    </row>
    <row r="7" customFormat="false" ht="15" hidden="false" customHeight="false" outlineLevel="0" collapsed="false">
      <c r="A7" s="2" t="s">
        <v>13</v>
      </c>
      <c r="B7" s="2" t="s">
        <v>22</v>
      </c>
      <c r="C7" s="2" t="s">
        <v>23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3" t="n">
        <f aca="false">SUM(E7:G7)</f>
        <v>3</v>
      </c>
      <c r="L7" s="3" t="n">
        <f aca="false">SUM(H7:J7)</f>
        <v>3</v>
      </c>
      <c r="M7" s="2"/>
    </row>
    <row r="8" customFormat="false" ht="15" hidden="false" customHeight="false" outlineLevel="0" collapsed="false">
      <c r="A8" s="2" t="s">
        <v>13</v>
      </c>
      <c r="B8" s="2" t="s">
        <v>22</v>
      </c>
      <c r="C8" s="2" t="s">
        <v>24</v>
      </c>
      <c r="D8" s="3" t="n">
        <v>0</v>
      </c>
      <c r="E8" s="3" t="n">
        <v>0</v>
      </c>
      <c r="F8" s="3" t="n">
        <v>0</v>
      </c>
      <c r="G8" s="4" t="n">
        <v>1</v>
      </c>
      <c r="H8" s="3" t="n">
        <v>0</v>
      </c>
      <c r="I8" s="3" t="n">
        <v>0</v>
      </c>
      <c r="J8" s="3" t="n">
        <v>0</v>
      </c>
      <c r="K8" s="3" t="n">
        <f aca="false">SUM(E8:G8)</f>
        <v>1</v>
      </c>
      <c r="L8" s="3" t="n">
        <f aca="false">SUM(H8:J8)</f>
        <v>0</v>
      </c>
      <c r="M8" s="2"/>
    </row>
    <row r="9" customFormat="false" ht="15" hidden="false" customHeight="false" outlineLevel="0" collapsed="false">
      <c r="A9" s="2" t="s">
        <v>13</v>
      </c>
      <c r="B9" s="2" t="s">
        <v>22</v>
      </c>
      <c r="C9" s="2" t="s">
        <v>25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1</v>
      </c>
      <c r="I9" s="3" t="n">
        <v>0</v>
      </c>
      <c r="J9" s="3" t="n">
        <v>0</v>
      </c>
      <c r="K9" s="3" t="n">
        <f aca="false">SUM(E9:G9)</f>
        <v>0</v>
      </c>
      <c r="L9" s="3" t="n">
        <f aca="false">SUM(H9:J9)</f>
        <v>1</v>
      </c>
      <c r="M9" s="2"/>
    </row>
    <row r="10" customFormat="false" ht="23.85" hidden="false" customHeight="false" outlineLevel="0" collapsed="false">
      <c r="A10" s="2" t="s">
        <v>13</v>
      </c>
      <c r="B10" s="2" t="s">
        <v>22</v>
      </c>
      <c r="C10" s="2" t="s">
        <v>26</v>
      </c>
      <c r="D10" s="3" t="n">
        <v>0</v>
      </c>
      <c r="E10" s="3" t="n">
        <v>0</v>
      </c>
      <c r="F10" s="3" t="n">
        <v>0</v>
      </c>
      <c r="G10" s="3" t="n">
        <v>0</v>
      </c>
      <c r="H10" s="4" t="n">
        <v>1</v>
      </c>
      <c r="I10" s="4" t="n">
        <v>1</v>
      </c>
      <c r="J10" s="3" t="n">
        <v>0</v>
      </c>
      <c r="K10" s="3" t="n">
        <f aca="false">SUM(E10:G10)</f>
        <v>0</v>
      </c>
      <c r="L10" s="3" t="n">
        <f aca="false">SUM(H10:J10)</f>
        <v>2</v>
      </c>
      <c r="M10" s="2"/>
    </row>
    <row r="11" customFormat="false" ht="15" hidden="false" customHeight="false" outlineLevel="0" collapsed="false">
      <c r="A11" s="2" t="s">
        <v>13</v>
      </c>
      <c r="B11" s="2" t="s">
        <v>22</v>
      </c>
      <c r="C11" s="2" t="s">
        <v>27</v>
      </c>
      <c r="D11" s="3" t="n">
        <v>0</v>
      </c>
      <c r="E11" s="4" t="n">
        <v>1</v>
      </c>
      <c r="F11" s="4" t="n">
        <v>1</v>
      </c>
      <c r="G11" s="3" t="n">
        <v>0</v>
      </c>
      <c r="H11" s="4" t="n">
        <v>1</v>
      </c>
      <c r="I11" s="3" t="n">
        <v>0</v>
      </c>
      <c r="J11" s="3" t="n">
        <v>0</v>
      </c>
      <c r="K11" s="3" t="n">
        <f aca="false">SUM(E11:G11)</f>
        <v>2</v>
      </c>
      <c r="L11" s="3" t="n">
        <f aca="false">SUM(H11:J11)</f>
        <v>1</v>
      </c>
      <c r="M11" s="2"/>
    </row>
    <row r="12" customFormat="false" ht="15" hidden="false" customHeight="false" outlineLevel="0" collapsed="false">
      <c r="A12" s="2" t="s">
        <v>13</v>
      </c>
      <c r="B12" s="2" t="s">
        <v>28</v>
      </c>
      <c r="C12" s="2" t="s">
        <v>29</v>
      </c>
      <c r="D12" s="4" t="n">
        <v>1</v>
      </c>
      <c r="E12" s="3" t="n">
        <v>0</v>
      </c>
      <c r="F12" s="3" t="n">
        <v>0</v>
      </c>
      <c r="G12" s="4" t="n">
        <v>1</v>
      </c>
      <c r="H12" s="4" t="n">
        <v>1</v>
      </c>
      <c r="I12" s="3" t="n">
        <v>0</v>
      </c>
      <c r="J12" s="3" t="n">
        <v>0</v>
      </c>
      <c r="K12" s="3" t="n">
        <f aca="false">SUM(E12:G12)</f>
        <v>1</v>
      </c>
      <c r="L12" s="3" t="n">
        <f aca="false">SUM(H12:J12)</f>
        <v>1</v>
      </c>
      <c r="M12" s="2"/>
    </row>
    <row r="13" customFormat="false" ht="15" hidden="false" customHeight="false" outlineLevel="0" collapsed="false">
      <c r="A13" s="2" t="s">
        <v>13</v>
      </c>
      <c r="B13" s="2" t="s">
        <v>28</v>
      </c>
      <c r="C13" s="2" t="s">
        <v>30</v>
      </c>
      <c r="D13" s="3" t="n">
        <v>0</v>
      </c>
      <c r="E13" s="3" t="n">
        <v>0</v>
      </c>
      <c r="F13" s="3" t="n">
        <v>0</v>
      </c>
      <c r="G13" s="4" t="n">
        <v>1</v>
      </c>
      <c r="H13" s="3" t="n">
        <v>0</v>
      </c>
      <c r="I13" s="3" t="n">
        <v>0</v>
      </c>
      <c r="J13" s="3" t="n">
        <v>0</v>
      </c>
      <c r="K13" s="3" t="n">
        <f aca="false">SUM(E13:G13)</f>
        <v>1</v>
      </c>
      <c r="L13" s="3" t="n">
        <f aca="false">SUM(H13:J13)</f>
        <v>0</v>
      </c>
      <c r="M13" s="2"/>
    </row>
    <row r="14" customFormat="false" ht="15" hidden="false" customHeight="false" outlineLevel="0" collapsed="false">
      <c r="A14" s="2" t="s">
        <v>13</v>
      </c>
      <c r="B14" s="2" t="s">
        <v>31</v>
      </c>
      <c r="C14" s="2" t="s">
        <v>32</v>
      </c>
      <c r="D14" s="3" t="n">
        <v>0</v>
      </c>
      <c r="E14" s="4" t="n">
        <v>1</v>
      </c>
      <c r="F14" s="3" t="n">
        <v>0</v>
      </c>
      <c r="G14" s="4" t="n">
        <v>1</v>
      </c>
      <c r="H14" s="4" t="n">
        <v>1</v>
      </c>
      <c r="I14" s="4" t="n">
        <v>1</v>
      </c>
      <c r="J14" s="3" t="n">
        <v>0</v>
      </c>
      <c r="K14" s="3" t="n">
        <f aca="false">SUM(E14:G14)</f>
        <v>2</v>
      </c>
      <c r="L14" s="3" t="n">
        <f aca="false">SUM(H14:J14)</f>
        <v>2</v>
      </c>
      <c r="M14" s="2"/>
    </row>
    <row r="15" customFormat="false" ht="15" hidden="false" customHeight="false" outlineLevel="0" collapsed="false">
      <c r="A15" s="2" t="s">
        <v>13</v>
      </c>
      <c r="B15" s="2" t="s">
        <v>33</v>
      </c>
      <c r="C15" s="2" t="s">
        <v>34</v>
      </c>
      <c r="D15" s="4" t="n">
        <v>1</v>
      </c>
      <c r="E15" s="4" t="n">
        <v>1</v>
      </c>
      <c r="F15" s="3" t="n">
        <v>0</v>
      </c>
      <c r="G15" s="4" t="n">
        <v>1</v>
      </c>
      <c r="H15" s="4" t="n">
        <v>1</v>
      </c>
      <c r="I15" s="3" t="n">
        <v>0</v>
      </c>
      <c r="J15" s="4" t="n">
        <v>1</v>
      </c>
      <c r="K15" s="3" t="n">
        <f aca="false">SUM(E15:G15)</f>
        <v>2</v>
      </c>
      <c r="L15" s="3" t="n">
        <f aca="false">SUM(H15:J15)</f>
        <v>2</v>
      </c>
      <c r="M15" s="2"/>
    </row>
    <row r="16" customFormat="false" ht="15" hidden="false" customHeight="false" outlineLevel="0" collapsed="false">
      <c r="A16" s="2" t="s">
        <v>13</v>
      </c>
      <c r="B16" s="2" t="s">
        <v>35</v>
      </c>
      <c r="C16" s="2" t="s">
        <v>36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4" t="n">
        <v>1</v>
      </c>
      <c r="J16" s="3" t="n">
        <v>0</v>
      </c>
      <c r="K16" s="3" t="n">
        <f aca="false">SUM(E16:G16)</f>
        <v>0</v>
      </c>
      <c r="L16" s="3" t="n">
        <f aca="false">SUM(H16:J16)</f>
        <v>1</v>
      </c>
      <c r="M16" s="2"/>
    </row>
    <row r="17" customFormat="false" ht="23.85" hidden="false" customHeight="false" outlineLevel="0" collapsed="false">
      <c r="A17" s="2" t="s">
        <v>13</v>
      </c>
      <c r="B17" s="2" t="s">
        <v>37</v>
      </c>
      <c r="C17" s="2" t="s">
        <v>38</v>
      </c>
      <c r="D17" s="3" t="n">
        <v>0</v>
      </c>
      <c r="E17" s="3" t="n">
        <v>0</v>
      </c>
      <c r="F17" s="3" t="n">
        <v>0</v>
      </c>
      <c r="G17" s="4" t="n">
        <v>1</v>
      </c>
      <c r="H17" s="3" t="n">
        <v>0</v>
      </c>
      <c r="I17" s="3" t="n">
        <v>0</v>
      </c>
      <c r="J17" s="3" t="n">
        <v>0</v>
      </c>
      <c r="K17" s="3" t="n">
        <f aca="false">SUM(E17:G17)</f>
        <v>1</v>
      </c>
      <c r="L17" s="3" t="n">
        <f aca="false">SUM(H17:J17)</f>
        <v>0</v>
      </c>
      <c r="M17" s="2" t="s">
        <v>39</v>
      </c>
    </row>
    <row r="18" customFormat="false" ht="15" hidden="false" customHeight="false" outlineLevel="0" collapsed="false">
      <c r="A18" s="2" t="s">
        <v>13</v>
      </c>
      <c r="B18" s="2" t="s">
        <v>40</v>
      </c>
      <c r="C18" s="2" t="s">
        <v>41</v>
      </c>
      <c r="D18" s="4" t="n">
        <v>1</v>
      </c>
      <c r="E18" s="3" t="n">
        <v>0</v>
      </c>
      <c r="F18" s="3" t="n">
        <v>0</v>
      </c>
      <c r="G18" s="4" t="n">
        <v>1</v>
      </c>
      <c r="H18" s="4" t="n">
        <v>1</v>
      </c>
      <c r="I18" s="4" t="n">
        <v>1</v>
      </c>
      <c r="J18" s="3" t="n">
        <v>0</v>
      </c>
      <c r="K18" s="3" t="n">
        <f aca="false">SUM(E18:G18)</f>
        <v>1</v>
      </c>
      <c r="L18" s="3" t="n">
        <f aca="false">SUM(H18:J18)</f>
        <v>2</v>
      </c>
      <c r="M18" s="2" t="s">
        <v>42</v>
      </c>
    </row>
    <row r="19" customFormat="false" ht="15" hidden="false" customHeight="false" outlineLevel="0" collapsed="false">
      <c r="A19" s="2" t="s">
        <v>13</v>
      </c>
      <c r="B19" s="2" t="s">
        <v>43</v>
      </c>
      <c r="C19" s="2" t="s">
        <v>44</v>
      </c>
      <c r="D19" s="4" t="n">
        <v>1</v>
      </c>
      <c r="E19" s="4" t="n">
        <v>1</v>
      </c>
      <c r="F19" s="3" t="n">
        <v>0</v>
      </c>
      <c r="G19" s="4" t="n">
        <v>1</v>
      </c>
      <c r="H19" s="3" t="n">
        <v>0</v>
      </c>
      <c r="I19" s="3" t="n">
        <v>0</v>
      </c>
      <c r="J19" s="3" t="n">
        <v>0</v>
      </c>
      <c r="K19" s="3" t="n">
        <f aca="false">SUM(E19:G19)</f>
        <v>2</v>
      </c>
      <c r="L19" s="3" t="n">
        <f aca="false">SUM(H19:J19)</f>
        <v>0</v>
      </c>
      <c r="M19" s="2"/>
    </row>
    <row r="20" customFormat="false" ht="15" hidden="false" customHeight="false" outlineLevel="0" collapsed="false">
      <c r="A20" s="2" t="s">
        <v>45</v>
      </c>
      <c r="B20" s="2" t="s">
        <v>14</v>
      </c>
      <c r="C20" s="2" t="s">
        <v>46</v>
      </c>
      <c r="D20" s="4" t="n">
        <v>1</v>
      </c>
      <c r="E20" s="3" t="n">
        <v>0</v>
      </c>
      <c r="F20" s="3" t="n">
        <v>0</v>
      </c>
      <c r="G20" s="3" t="n">
        <v>0</v>
      </c>
      <c r="H20" s="4" t="n">
        <v>1</v>
      </c>
      <c r="I20" s="4" t="n">
        <v>1</v>
      </c>
      <c r="J20" s="4" t="n">
        <v>1</v>
      </c>
      <c r="K20" s="3" t="n">
        <f aca="false">SUM(E20:G20)</f>
        <v>0</v>
      </c>
      <c r="L20" s="3" t="n">
        <f aca="false">SUM(H20:J20)</f>
        <v>3</v>
      </c>
      <c r="M20" s="2"/>
    </row>
    <row r="21" customFormat="false" ht="15" hidden="false" customHeight="false" outlineLevel="0" collapsed="false">
      <c r="A21" s="2" t="s">
        <v>45</v>
      </c>
      <c r="B21" s="2" t="s">
        <v>16</v>
      </c>
      <c r="C21" s="2" t="s">
        <v>47</v>
      </c>
      <c r="D21" s="4" t="n">
        <v>1</v>
      </c>
      <c r="E21" s="3" t="n">
        <v>0</v>
      </c>
      <c r="F21" s="3" t="n">
        <v>0</v>
      </c>
      <c r="G21" s="3" t="n">
        <v>0</v>
      </c>
      <c r="H21" s="4" t="n">
        <v>1</v>
      </c>
      <c r="I21" s="4" t="n">
        <v>1</v>
      </c>
      <c r="J21" s="4" t="n">
        <v>1</v>
      </c>
      <c r="K21" s="3" t="n">
        <f aca="false">SUM(E21:G21)</f>
        <v>0</v>
      </c>
      <c r="L21" s="3" t="n">
        <f aca="false">SUM(H21:J21)</f>
        <v>3</v>
      </c>
      <c r="M21" s="2"/>
    </row>
    <row r="22" customFormat="false" ht="15" hidden="false" customHeight="false" outlineLevel="0" collapsed="false">
      <c r="A22" s="2" t="s">
        <v>45</v>
      </c>
      <c r="B22" s="2" t="s">
        <v>22</v>
      </c>
      <c r="C22" s="2" t="s">
        <v>48</v>
      </c>
      <c r="D22" s="4" t="n">
        <v>1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3" t="n">
        <f aca="false">SUM(E22:G22)</f>
        <v>3</v>
      </c>
      <c r="L22" s="3" t="n">
        <f aca="false">SUM(H22:J22)</f>
        <v>3</v>
      </c>
      <c r="M22" s="2"/>
    </row>
    <row r="23" customFormat="false" ht="15" hidden="false" customHeight="false" outlineLevel="0" collapsed="false">
      <c r="A23" s="2" t="s">
        <v>45</v>
      </c>
      <c r="B23" s="2" t="s">
        <v>49</v>
      </c>
      <c r="C23" s="2" t="s">
        <v>50</v>
      </c>
      <c r="D23" s="4" t="n">
        <v>1</v>
      </c>
      <c r="E23" s="3" t="n">
        <v>0</v>
      </c>
      <c r="F23" s="3" t="n">
        <v>0</v>
      </c>
      <c r="G23" s="3" t="n">
        <v>0</v>
      </c>
      <c r="H23" s="4" t="n">
        <v>1</v>
      </c>
      <c r="I23" s="4" t="n">
        <v>1</v>
      </c>
      <c r="J23" s="4" t="n">
        <v>1</v>
      </c>
      <c r="K23" s="3" t="n">
        <f aca="false">SUM(E23:G23)</f>
        <v>0</v>
      </c>
      <c r="L23" s="3" t="n">
        <f aca="false">SUM(H23:J23)</f>
        <v>3</v>
      </c>
      <c r="M23" s="2"/>
    </row>
    <row r="24" customFormat="false" ht="15" hidden="false" customHeight="false" outlineLevel="0" collapsed="false">
      <c r="A24" s="2" t="s">
        <v>45</v>
      </c>
      <c r="B24" s="2" t="s">
        <v>51</v>
      </c>
      <c r="C24" s="2" t="s">
        <v>52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1</v>
      </c>
      <c r="K24" s="3" t="n">
        <f aca="false">SUM(E24:G24)</f>
        <v>0</v>
      </c>
      <c r="L24" s="3" t="n">
        <f aca="false">SUM(H24:J24)</f>
        <v>1</v>
      </c>
      <c r="M24" s="2"/>
    </row>
    <row r="25" customFormat="false" ht="15" hidden="false" customHeight="false" outlineLevel="0" collapsed="false">
      <c r="A25" s="2" t="s">
        <v>45</v>
      </c>
      <c r="B25" s="2" t="s">
        <v>28</v>
      </c>
      <c r="C25" s="2" t="s">
        <v>53</v>
      </c>
      <c r="D25" s="4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f aca="false">SUM(E25:G25)</f>
        <v>0</v>
      </c>
      <c r="L25" s="3" t="n">
        <f aca="false">SUM(H25:J25)</f>
        <v>0</v>
      </c>
      <c r="M25" s="2"/>
    </row>
    <row r="26" customFormat="false" ht="15" hidden="false" customHeight="false" outlineLevel="0" collapsed="false">
      <c r="A26" s="2" t="s">
        <v>45</v>
      </c>
      <c r="B26" s="2" t="s">
        <v>31</v>
      </c>
      <c r="C26" s="2" t="s">
        <v>54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1</v>
      </c>
      <c r="K26" s="3" t="n">
        <f aca="false">SUM(E26:G26)</f>
        <v>0</v>
      </c>
      <c r="L26" s="3" t="n">
        <f aca="false">SUM(H26:J26)</f>
        <v>1</v>
      </c>
      <c r="M26" s="2"/>
    </row>
    <row r="27" customFormat="false" ht="15" hidden="false" customHeight="false" outlineLevel="0" collapsed="false">
      <c r="A27" s="2" t="s">
        <v>45</v>
      </c>
      <c r="B27" s="2" t="s">
        <v>35</v>
      </c>
      <c r="C27" s="2" t="s">
        <v>55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1</v>
      </c>
      <c r="K27" s="3" t="n">
        <f aca="false">SUM(E27:G27)</f>
        <v>0</v>
      </c>
      <c r="L27" s="3" t="n">
        <f aca="false">SUM(H27:J27)</f>
        <v>1</v>
      </c>
      <c r="M27" s="2"/>
    </row>
    <row r="28" customFormat="false" ht="15" hidden="false" customHeight="false" outlineLevel="0" collapsed="false">
      <c r="A28" s="2" t="s">
        <v>45</v>
      </c>
      <c r="B28" s="2" t="s">
        <v>40</v>
      </c>
      <c r="C28" s="2" t="s">
        <v>56</v>
      </c>
      <c r="D28" s="3" t="n">
        <v>0</v>
      </c>
      <c r="E28" s="3" t="n">
        <v>0</v>
      </c>
      <c r="F28" s="3" t="n">
        <v>0</v>
      </c>
      <c r="G28" s="3" t="n">
        <v>0</v>
      </c>
      <c r="H28" s="4" t="n">
        <v>1</v>
      </c>
      <c r="I28" s="4" t="n">
        <v>1</v>
      </c>
      <c r="J28" s="4" t="n">
        <v>1</v>
      </c>
      <c r="K28" s="3" t="n">
        <f aca="false">SUM(E28:G28)</f>
        <v>0</v>
      </c>
      <c r="L28" s="3" t="n">
        <f aca="false">SUM(H28:J28)</f>
        <v>3</v>
      </c>
      <c r="M28" s="2"/>
    </row>
    <row r="29" customFormat="false" ht="15" hidden="false" customHeight="false" outlineLevel="0" collapsed="false">
      <c r="A29" s="2" t="s">
        <v>57</v>
      </c>
      <c r="B29" s="2" t="s">
        <v>16</v>
      </c>
      <c r="C29" s="2" t="s">
        <v>19</v>
      </c>
      <c r="D29" s="3" t="n">
        <v>0</v>
      </c>
      <c r="E29" s="3" t="n">
        <v>0</v>
      </c>
      <c r="F29" s="3" t="n">
        <v>0</v>
      </c>
      <c r="G29" s="4" t="n">
        <v>1</v>
      </c>
      <c r="H29" s="4" t="n">
        <v>1</v>
      </c>
      <c r="I29" s="4" t="n">
        <v>1</v>
      </c>
      <c r="J29" s="4" t="n">
        <v>1</v>
      </c>
      <c r="K29" s="3" t="n">
        <f aca="false">SUM(E29:G29)</f>
        <v>1</v>
      </c>
      <c r="L29" s="3" t="n">
        <f aca="false">SUM(H29:J29)</f>
        <v>3</v>
      </c>
      <c r="M29" s="2"/>
    </row>
    <row r="30" customFormat="false" ht="23.85" hidden="false" customHeight="false" outlineLevel="0" collapsed="false">
      <c r="A30" s="2" t="s">
        <v>57</v>
      </c>
      <c r="B30" s="2" t="s">
        <v>22</v>
      </c>
      <c r="C30" s="2" t="s">
        <v>23</v>
      </c>
      <c r="D30" s="4" t="n">
        <v>1</v>
      </c>
      <c r="E30" s="3" t="n">
        <v>0</v>
      </c>
      <c r="F30" s="3" t="n">
        <v>0</v>
      </c>
      <c r="G30" s="4" t="n">
        <v>1</v>
      </c>
      <c r="H30" s="4" t="n">
        <v>1</v>
      </c>
      <c r="I30" s="3" t="n">
        <v>0</v>
      </c>
      <c r="J30" s="3" t="n">
        <v>0</v>
      </c>
      <c r="K30" s="3" t="n">
        <f aca="false">SUM(E30:G30)</f>
        <v>1</v>
      </c>
      <c r="L30" s="3" t="n">
        <f aca="false">SUM(H30:J30)</f>
        <v>1</v>
      </c>
      <c r="M30" s="2" t="s">
        <v>58</v>
      </c>
    </row>
    <row r="31" customFormat="false" ht="15" hidden="false" customHeight="false" outlineLevel="0" collapsed="false">
      <c r="A31" s="2" t="s">
        <v>57</v>
      </c>
      <c r="B31" s="2" t="s">
        <v>22</v>
      </c>
      <c r="C31" s="2" t="s">
        <v>59</v>
      </c>
      <c r="D31" s="4" t="n">
        <v>1</v>
      </c>
      <c r="E31" s="4" t="n">
        <v>1</v>
      </c>
      <c r="F31" s="3" t="n">
        <v>0</v>
      </c>
      <c r="G31" s="3" t="n">
        <v>0</v>
      </c>
      <c r="H31" s="4" t="n">
        <v>1</v>
      </c>
      <c r="I31" s="4" t="n">
        <v>1</v>
      </c>
      <c r="J31" s="4" t="n">
        <v>1</v>
      </c>
      <c r="K31" s="3" t="n">
        <f aca="false">SUM(E31:G31)</f>
        <v>1</v>
      </c>
      <c r="L31" s="3" t="n">
        <f aca="false">SUM(H31:J31)</f>
        <v>3</v>
      </c>
      <c r="M31" s="2"/>
    </row>
    <row r="32" customFormat="false" ht="23.85" hidden="false" customHeight="false" outlineLevel="0" collapsed="false">
      <c r="A32" s="2" t="s">
        <v>57</v>
      </c>
      <c r="B32" s="2" t="s">
        <v>22</v>
      </c>
      <c r="C32" s="2" t="s">
        <v>26</v>
      </c>
      <c r="D32" s="4" t="n">
        <v>1</v>
      </c>
      <c r="E32" s="4" t="n">
        <v>1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1</v>
      </c>
      <c r="K32" s="3" t="n">
        <f aca="false">SUM(E32:G32)</f>
        <v>3</v>
      </c>
      <c r="L32" s="3" t="n">
        <f aca="false">SUM(H32:J32)</f>
        <v>3</v>
      </c>
      <c r="M32" s="2"/>
    </row>
    <row r="33" customFormat="false" ht="15" hidden="false" customHeight="false" outlineLevel="0" collapsed="false">
      <c r="A33" s="2" t="s">
        <v>57</v>
      </c>
      <c r="B33" s="2" t="s">
        <v>22</v>
      </c>
      <c r="C33" s="2" t="s">
        <v>60</v>
      </c>
      <c r="D33" s="4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1</v>
      </c>
      <c r="J33" s="3" t="n">
        <v>0</v>
      </c>
      <c r="K33" s="3" t="n">
        <f aca="false">SUM(E33:G33)</f>
        <v>0</v>
      </c>
      <c r="L33" s="3" t="n">
        <f aca="false">SUM(H33:J33)</f>
        <v>1</v>
      </c>
      <c r="M33" s="2"/>
    </row>
    <row r="34" customFormat="false" ht="15" hidden="false" customHeight="false" outlineLevel="0" collapsed="false">
      <c r="A34" s="2" t="s">
        <v>57</v>
      </c>
      <c r="B34" s="2" t="s">
        <v>22</v>
      </c>
      <c r="C34" s="2" t="s">
        <v>61</v>
      </c>
      <c r="D34" s="4" t="n">
        <v>1</v>
      </c>
      <c r="E34" s="3" t="n">
        <v>0</v>
      </c>
      <c r="F34" s="3" t="n">
        <v>0</v>
      </c>
      <c r="G34" s="3" t="n">
        <v>0</v>
      </c>
      <c r="H34" s="4" t="n">
        <v>1</v>
      </c>
      <c r="I34" s="3" t="n">
        <v>0</v>
      </c>
      <c r="J34" s="3" t="n">
        <v>0</v>
      </c>
      <c r="K34" s="3" t="n">
        <f aca="false">SUM(E34:G34)</f>
        <v>0</v>
      </c>
      <c r="L34" s="3" t="n">
        <f aca="false">SUM(H34:J34)</f>
        <v>1</v>
      </c>
      <c r="M34" s="2"/>
    </row>
    <row r="35" customFormat="false" ht="15" hidden="false" customHeight="false" outlineLevel="0" collapsed="false">
      <c r="A35" s="2" t="s">
        <v>57</v>
      </c>
      <c r="B35" s="2" t="s">
        <v>22</v>
      </c>
      <c r="C35" s="2" t="s">
        <v>62</v>
      </c>
      <c r="D35" s="4" t="n">
        <v>1</v>
      </c>
      <c r="E35" s="4" t="n">
        <v>1</v>
      </c>
      <c r="F35" s="3" t="n">
        <v>0</v>
      </c>
      <c r="G35" s="3" t="n">
        <v>0</v>
      </c>
      <c r="H35" s="4" t="n">
        <v>1</v>
      </c>
      <c r="I35" s="4" t="n">
        <v>1</v>
      </c>
      <c r="J35" s="4" t="n">
        <v>1</v>
      </c>
      <c r="K35" s="3" t="n">
        <f aca="false">SUM(E35:G35)</f>
        <v>1</v>
      </c>
      <c r="L35" s="3" t="n">
        <f aca="false">SUM(H35:J35)</f>
        <v>3</v>
      </c>
      <c r="M35" s="2"/>
    </row>
    <row r="36" customFormat="false" ht="15" hidden="false" customHeight="false" outlineLevel="0" collapsed="false">
      <c r="A36" s="2" t="s">
        <v>57</v>
      </c>
      <c r="B36" s="2" t="s">
        <v>22</v>
      </c>
      <c r="C36" s="2" t="s">
        <v>63</v>
      </c>
      <c r="D36" s="4" t="n">
        <v>1</v>
      </c>
      <c r="E36" s="3" t="n">
        <v>0</v>
      </c>
      <c r="F36" s="3" t="n">
        <v>0</v>
      </c>
      <c r="G36" s="4" t="n">
        <v>1</v>
      </c>
      <c r="H36" s="3" t="n">
        <v>0</v>
      </c>
      <c r="I36" s="3" t="n">
        <v>0</v>
      </c>
      <c r="J36" s="3" t="n">
        <v>0</v>
      </c>
      <c r="K36" s="3" t="n">
        <f aca="false">SUM(E36:G36)</f>
        <v>1</v>
      </c>
      <c r="L36" s="3" t="n">
        <f aca="false">SUM(H36:J36)</f>
        <v>0</v>
      </c>
      <c r="M36" s="2"/>
    </row>
    <row r="37" customFormat="false" ht="15" hidden="false" customHeight="false" outlineLevel="0" collapsed="false">
      <c r="A37" s="2" t="s">
        <v>57</v>
      </c>
      <c r="B37" s="2" t="s">
        <v>22</v>
      </c>
      <c r="C37" s="2" t="s">
        <v>64</v>
      </c>
      <c r="D37" s="4" t="n">
        <v>1</v>
      </c>
      <c r="E37" s="3" t="n">
        <v>0</v>
      </c>
      <c r="F37" s="3" t="n">
        <v>0</v>
      </c>
      <c r="G37" s="4" t="n">
        <v>1</v>
      </c>
      <c r="H37" s="3" t="n">
        <v>0</v>
      </c>
      <c r="I37" s="3" t="n">
        <v>0</v>
      </c>
      <c r="J37" s="3" t="n">
        <v>0</v>
      </c>
      <c r="K37" s="3" t="n">
        <f aca="false">SUM(E37:G37)</f>
        <v>1</v>
      </c>
      <c r="L37" s="3" t="n">
        <f aca="false">SUM(H37:J37)</f>
        <v>0</v>
      </c>
      <c r="M37" s="2"/>
    </row>
    <row r="38" customFormat="false" ht="23.85" hidden="false" customHeight="false" outlineLevel="0" collapsed="false">
      <c r="A38" s="2" t="s">
        <v>57</v>
      </c>
      <c r="B38" s="2" t="s">
        <v>49</v>
      </c>
      <c r="C38" s="2" t="s">
        <v>65</v>
      </c>
      <c r="D38" s="3" t="n">
        <v>0</v>
      </c>
      <c r="E38" s="3" t="n">
        <v>0</v>
      </c>
      <c r="F38" s="3" t="n">
        <v>0</v>
      </c>
      <c r="G38" s="4" t="n">
        <v>1</v>
      </c>
      <c r="H38" s="4" t="n">
        <v>1</v>
      </c>
      <c r="I38" s="4" t="n">
        <v>1</v>
      </c>
      <c r="J38" s="3" t="n">
        <v>0</v>
      </c>
      <c r="K38" s="3" t="n">
        <f aca="false">SUM(E38:G38)</f>
        <v>1</v>
      </c>
      <c r="L38" s="3" t="n">
        <f aca="false">SUM(H38:J38)</f>
        <v>2</v>
      </c>
      <c r="M38" s="2" t="s">
        <v>66</v>
      </c>
    </row>
    <row r="39" customFormat="false" ht="15" hidden="false" customHeight="false" outlineLevel="0" collapsed="false">
      <c r="A39" s="2" t="s">
        <v>57</v>
      </c>
      <c r="B39" s="2" t="s">
        <v>51</v>
      </c>
      <c r="C39" s="2" t="s">
        <v>67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1</v>
      </c>
      <c r="I39" s="3" t="n">
        <v>0</v>
      </c>
      <c r="J39" s="3" t="n">
        <v>0</v>
      </c>
      <c r="K39" s="3" t="n">
        <f aca="false">SUM(E39:G39)</f>
        <v>0</v>
      </c>
      <c r="L39" s="3" t="n">
        <f aca="false">SUM(H39:J39)</f>
        <v>1</v>
      </c>
      <c r="M39" s="2"/>
    </row>
    <row r="40" customFormat="false" ht="15" hidden="false" customHeight="false" outlineLevel="0" collapsed="false">
      <c r="A40" s="2" t="s">
        <v>57</v>
      </c>
      <c r="B40" s="2" t="s">
        <v>51</v>
      </c>
      <c r="C40" s="2" t="s">
        <v>68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1</v>
      </c>
      <c r="I40" s="3" t="n">
        <v>0</v>
      </c>
      <c r="J40" s="3" t="n">
        <v>0</v>
      </c>
      <c r="K40" s="3" t="n">
        <f aca="false">SUM(E40:G40)</f>
        <v>0</v>
      </c>
      <c r="L40" s="3" t="n">
        <f aca="false">SUM(H40:J40)</f>
        <v>1</v>
      </c>
      <c r="M40" s="2"/>
    </row>
    <row r="41" customFormat="false" ht="15" hidden="false" customHeight="false" outlineLevel="0" collapsed="false">
      <c r="A41" s="2" t="s">
        <v>57</v>
      </c>
      <c r="B41" s="2" t="s">
        <v>51</v>
      </c>
      <c r="C41" s="2" t="s">
        <v>69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1</v>
      </c>
      <c r="I41" s="3" t="n">
        <v>0</v>
      </c>
      <c r="J41" s="3" t="n">
        <v>0</v>
      </c>
      <c r="K41" s="3" t="n">
        <f aca="false">SUM(E41:G41)</f>
        <v>0</v>
      </c>
      <c r="L41" s="3" t="n">
        <f aca="false">SUM(H41:J41)</f>
        <v>1</v>
      </c>
      <c r="M41" s="2"/>
    </row>
    <row r="42" customFormat="false" ht="23.85" hidden="false" customHeight="false" outlineLevel="0" collapsed="false">
      <c r="A42" s="2" t="s">
        <v>57</v>
      </c>
      <c r="B42" s="2" t="s">
        <v>70</v>
      </c>
      <c r="C42" s="2" t="s">
        <v>71</v>
      </c>
      <c r="D42" s="4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f aca="false">SUM(E42:G42)</f>
        <v>0</v>
      </c>
      <c r="L42" s="3" t="n">
        <f aca="false">SUM(H42:J42)</f>
        <v>0</v>
      </c>
      <c r="M42" s="2"/>
    </row>
    <row r="43" customFormat="false" ht="15" hidden="false" customHeight="false" outlineLevel="0" collapsed="false">
      <c r="A43" s="2" t="s">
        <v>57</v>
      </c>
      <c r="B43" s="2" t="s">
        <v>70</v>
      </c>
      <c r="C43" s="2" t="s">
        <v>72</v>
      </c>
      <c r="D43" s="4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f aca="false">SUM(E43:G43)</f>
        <v>0</v>
      </c>
      <c r="L43" s="3" t="n">
        <f aca="false">SUM(H43:J43)</f>
        <v>0</v>
      </c>
      <c r="M43" s="2"/>
    </row>
    <row r="44" customFormat="false" ht="23.85" hidden="false" customHeight="false" outlineLevel="0" collapsed="false">
      <c r="A44" s="2" t="s">
        <v>57</v>
      </c>
      <c r="B44" s="2" t="s">
        <v>73</v>
      </c>
      <c r="C44" s="2" t="s">
        <v>74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1</v>
      </c>
      <c r="J44" s="3" t="n">
        <v>0</v>
      </c>
      <c r="K44" s="3" t="n">
        <f aca="false">SUM(E44:G44)</f>
        <v>0</v>
      </c>
      <c r="L44" s="3" t="n">
        <f aca="false">SUM(H44:J44)</f>
        <v>1</v>
      </c>
      <c r="M44" s="2" t="s">
        <v>75</v>
      </c>
    </row>
    <row r="45" customFormat="false" ht="15" hidden="false" customHeight="false" outlineLevel="0" collapsed="false">
      <c r="A45" s="2" t="s">
        <v>57</v>
      </c>
      <c r="B45" s="2" t="s">
        <v>73</v>
      </c>
      <c r="C45" s="2" t="s">
        <v>76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1</v>
      </c>
      <c r="J45" s="3" t="n">
        <v>0</v>
      </c>
      <c r="K45" s="3" t="n">
        <f aca="false">SUM(E45:G45)</f>
        <v>0</v>
      </c>
      <c r="L45" s="3" t="n">
        <f aca="false">SUM(H45:J45)</f>
        <v>1</v>
      </c>
      <c r="M45" s="2" t="s">
        <v>77</v>
      </c>
    </row>
    <row r="46" customFormat="false" ht="23.85" hidden="false" customHeight="false" outlineLevel="0" collapsed="false">
      <c r="A46" s="2" t="s">
        <v>57</v>
      </c>
      <c r="B46" s="2" t="s">
        <v>78</v>
      </c>
      <c r="C46" s="2" t="s">
        <v>79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1</v>
      </c>
      <c r="J46" s="3" t="n">
        <v>0</v>
      </c>
      <c r="K46" s="3" t="n">
        <f aca="false">SUM(E46:G46)</f>
        <v>0</v>
      </c>
      <c r="L46" s="3" t="n">
        <f aca="false">SUM(H46:J46)</f>
        <v>1</v>
      </c>
      <c r="M46" s="2"/>
    </row>
  </sheetData>
  <autoFilter ref="A1:M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customFormat="false" ht="15" hidden="false" customHeight="false" outlineLevel="0" collapsed="false">
      <c r="A2" s="5" t="s">
        <v>89</v>
      </c>
      <c r="B2" s="5" t="s">
        <v>13</v>
      </c>
      <c r="C2" s="6" t="n">
        <f aca="false">SUMIFS(Matrix!$D$2:$D$46,Matrix!$A$2:$A$46,B2)</f>
        <v>7</v>
      </c>
      <c r="D2" s="6" t="n">
        <f aca="false">SUMIFS(Matrix!$E$2:$E$46,Matrix!$A$2:$A$46,B2)</f>
        <v>7</v>
      </c>
      <c r="E2" s="6" t="n">
        <f aca="false">COUNTIFS(Matrix!$A$2:$A$46,B2,Matrix!$D$2:$D$46,1,Matrix!$E$2:$E$46,1)</f>
        <v>5</v>
      </c>
      <c r="F2" s="6" t="n">
        <f aca="false">C2-E2</f>
        <v>2</v>
      </c>
      <c r="G2" s="6" t="n">
        <f aca="false">D2-E2</f>
        <v>2</v>
      </c>
      <c r="H2" s="7" t="n">
        <f aca="false">IF(C2+D2-E2=0,0,E2/(C2+D2-E2))</f>
        <v>0.555555555555556</v>
      </c>
      <c r="I2" s="5" t="s">
        <v>90</v>
      </c>
    </row>
    <row r="3" customFormat="false" ht="15" hidden="false" customHeight="false" outlineLevel="0" collapsed="false">
      <c r="A3" s="5" t="s">
        <v>89</v>
      </c>
      <c r="B3" s="5" t="s">
        <v>45</v>
      </c>
      <c r="C3" s="6" t="n">
        <f aca="false">SUMIFS(Matrix!$D$2:$D$46,Matrix!$A$2:$A$46,B3)</f>
        <v>5</v>
      </c>
      <c r="D3" s="6" t="n">
        <f aca="false">SUMIFS(Matrix!$E$2:$E$46,Matrix!$A$2:$A$46,B3)</f>
        <v>1</v>
      </c>
      <c r="E3" s="6" t="n">
        <f aca="false">COUNTIFS(Matrix!$A$2:$A$46,B3,Matrix!$D$2:$D$46,1,Matrix!$E$2:$E$46,1)</f>
        <v>1</v>
      </c>
      <c r="F3" s="6" t="n">
        <f aca="false">C3-E3</f>
        <v>4</v>
      </c>
      <c r="G3" s="6" t="n">
        <f aca="false">D3-E3</f>
        <v>0</v>
      </c>
      <c r="H3" s="7" t="n">
        <f aca="false">IF(C3+D3-E3=0,0,E3/(C3+D3-E3))</f>
        <v>0.2</v>
      </c>
      <c r="I3" s="5" t="s">
        <v>91</v>
      </c>
    </row>
    <row r="4" customFormat="false" ht="15" hidden="false" customHeight="false" outlineLevel="0" collapsed="false">
      <c r="A4" s="5" t="s">
        <v>89</v>
      </c>
      <c r="B4" s="5" t="s">
        <v>57</v>
      </c>
      <c r="C4" s="6" t="n">
        <f aca="false">SUMIFS(Matrix!$D$2:$D$46,Matrix!$A$2:$A$46,B4)</f>
        <v>10</v>
      </c>
      <c r="D4" s="6" t="n">
        <f aca="false">SUMIFS(Matrix!$E$2:$E$46,Matrix!$A$2:$A$46,B4)</f>
        <v>3</v>
      </c>
      <c r="E4" s="6" t="n">
        <f aca="false">COUNTIFS(Matrix!$A$2:$A$46,B4,Matrix!$D$2:$D$46,1,Matrix!$E$2:$E$46,1)</f>
        <v>3</v>
      </c>
      <c r="F4" s="6" t="n">
        <f aca="false">C4-E4</f>
        <v>7</v>
      </c>
      <c r="G4" s="6" t="n">
        <f aca="false">D4-E4</f>
        <v>0</v>
      </c>
      <c r="H4" s="7" t="n">
        <f aca="false">IF(C4+D4-E4=0,0,E4/(C4+D4-E4))</f>
        <v>0.3</v>
      </c>
      <c r="I4" s="5" t="s">
        <v>92</v>
      </c>
    </row>
    <row r="5" customFormat="false" ht="15" hidden="false" customHeight="false" outlineLevel="0" collapsed="false">
      <c r="A5" s="5" t="s">
        <v>93</v>
      </c>
      <c r="B5" s="5" t="s">
        <v>13</v>
      </c>
      <c r="C5" s="6" t="n">
        <f aca="false">SUMIFS(Matrix!$D$2:$D$46,Matrix!$A$2:$A$46,B5)</f>
        <v>7</v>
      </c>
      <c r="D5" s="6" t="n">
        <f aca="false">SUMIFS(Matrix!$H$2:$H$46,Matrix!$A$2:$A$46,B5)</f>
        <v>11</v>
      </c>
      <c r="E5" s="6" t="n">
        <f aca="false">COUNTIFS(Matrix!$A$2:$A$46,B5,Matrix!$D$2:$D$46,1,Matrix!$H$2:$H$46,1)</f>
        <v>6</v>
      </c>
      <c r="F5" s="6" t="n">
        <f aca="false">C5-E5</f>
        <v>1</v>
      </c>
      <c r="G5" s="6" t="n">
        <f aca="false">D5-E5</f>
        <v>5</v>
      </c>
      <c r="H5" s="7" t="n">
        <f aca="false">IF(C5+D5-E5=0,0,E5/(C5+D5-E5))</f>
        <v>0.5</v>
      </c>
      <c r="I5" s="5" t="s">
        <v>94</v>
      </c>
    </row>
    <row r="6" customFormat="false" ht="15" hidden="false" customHeight="false" outlineLevel="0" collapsed="false">
      <c r="A6" s="5" t="s">
        <v>93</v>
      </c>
      <c r="B6" s="5" t="s">
        <v>45</v>
      </c>
      <c r="C6" s="6" t="n">
        <f aca="false">SUMIFS(Matrix!$D$2:$D$46,Matrix!$A$2:$A$46,B6)</f>
        <v>5</v>
      </c>
      <c r="D6" s="6" t="n">
        <f aca="false">SUMIFS(Matrix!$H$2:$H$46,Matrix!$A$2:$A$46,B6)</f>
        <v>5</v>
      </c>
      <c r="E6" s="6" t="n">
        <f aca="false">COUNTIFS(Matrix!$A$2:$A$46,B6,Matrix!$D$2:$D$46,1,Matrix!$H$2:$H$46,1)</f>
        <v>4</v>
      </c>
      <c r="F6" s="6" t="n">
        <f aca="false">C6-E6</f>
        <v>1</v>
      </c>
      <c r="G6" s="6" t="n">
        <f aca="false">D6-E6</f>
        <v>1</v>
      </c>
      <c r="H6" s="7" t="n">
        <f aca="false">IF(C6+D6-E6=0,0,E6/(C6+D6-E6))</f>
        <v>0.666666666666667</v>
      </c>
      <c r="I6" s="5" t="s">
        <v>95</v>
      </c>
    </row>
    <row r="7" customFormat="false" ht="15" hidden="false" customHeight="false" outlineLevel="0" collapsed="false">
      <c r="A7" s="5" t="s">
        <v>93</v>
      </c>
      <c r="B7" s="5" t="s">
        <v>57</v>
      </c>
      <c r="C7" s="6" t="n">
        <f aca="false">SUMIFS(Matrix!$D$2:$D$46,Matrix!$A$2:$A$46,B7)</f>
        <v>10</v>
      </c>
      <c r="D7" s="6" t="n">
        <f aca="false">SUMIFS(Matrix!$H$2:$H$46,Matrix!$A$2:$A$46,B7)</f>
        <v>10</v>
      </c>
      <c r="E7" s="6" t="n">
        <f aca="false">COUNTIFS(Matrix!$A$2:$A$46,B7,Matrix!$D$2:$D$46,1,Matrix!$H$2:$H$46,1)</f>
        <v>5</v>
      </c>
      <c r="F7" s="6" t="n">
        <f aca="false">C7-E7</f>
        <v>5</v>
      </c>
      <c r="G7" s="6" t="n">
        <f aca="false">D7-E7</f>
        <v>5</v>
      </c>
      <c r="H7" s="7" t="n">
        <f aca="false">IF(C7+D7-E7=0,0,E7/(C7+D7-E7))</f>
        <v>0.333333333333333</v>
      </c>
      <c r="I7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97</v>
      </c>
      <c r="B1" s="1" t="s">
        <v>81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customFormat="false" ht="15" hidden="false" customHeight="false" outlineLevel="0" collapsed="false">
      <c r="A2" s="5" t="s">
        <v>104</v>
      </c>
      <c r="B2" s="5" t="s">
        <v>13</v>
      </c>
      <c r="C2" s="6" t="n">
        <f aca="false">COUNTIFS(Matrix!$A$2:$A$46,B2,Matrix!$K$2:$K$46,1)</f>
        <v>5</v>
      </c>
      <c r="D2" s="6" t="n">
        <f aca="false">COUNTIFS(Matrix!$A$2:$A$46,B2,Matrix!$K$2:$K$46,2)</f>
        <v>5</v>
      </c>
      <c r="E2" s="6" t="n">
        <f aca="false">COUNTIFS(Matrix!$A$2:$A$46,B2,Matrix!$K$2:$K$46,3)</f>
        <v>2</v>
      </c>
      <c r="F2" s="6" t="n">
        <f aca="false">SUM(C2:E2)</f>
        <v>12</v>
      </c>
      <c r="G2" s="7" t="n">
        <f aca="false">IF(F2=0,0,E2/F2)</f>
        <v>0.166666666666667</v>
      </c>
      <c r="H2" s="8" t="n">
        <f aca="false">IFERROR(AVERAGEIFS(Explanations!$H$2:$H$12,Explanations!$A$2:$A$12,A2,Explanations!$B$2:$B$12,B2),"n/a")</f>
        <v>3</v>
      </c>
    </row>
    <row r="3" customFormat="false" ht="15" hidden="false" customHeight="false" outlineLevel="0" collapsed="false">
      <c r="A3" s="5" t="s">
        <v>104</v>
      </c>
      <c r="B3" s="5" t="s">
        <v>45</v>
      </c>
      <c r="C3" s="6" t="n">
        <f aca="false">COUNTIFS(Matrix!$A$2:$A$46,B3,Matrix!$K$2:$K$46,1)</f>
        <v>0</v>
      </c>
      <c r="D3" s="6" t="n">
        <f aca="false">COUNTIFS(Matrix!$A$2:$A$46,B3,Matrix!$K$2:$K$46,2)</f>
        <v>0</v>
      </c>
      <c r="E3" s="6" t="n">
        <f aca="false">COUNTIFS(Matrix!$A$2:$A$46,B3,Matrix!$K$2:$K$46,3)</f>
        <v>1</v>
      </c>
      <c r="F3" s="6" t="n">
        <f aca="false">SUM(C3:E3)</f>
        <v>1</v>
      </c>
      <c r="G3" s="7" t="n">
        <f aca="false">IF(F3=0,0,E3/F3)</f>
        <v>1</v>
      </c>
      <c r="H3" s="8" t="n">
        <f aca="false">IFERROR(AVERAGEIFS(Explanations!$H$2:$H$12,Explanations!$A$2:$A$12,A3,Explanations!$B$2:$B$12,B3),"n/a")</f>
        <v>3</v>
      </c>
    </row>
    <row r="4" customFormat="false" ht="15" hidden="false" customHeight="false" outlineLevel="0" collapsed="false">
      <c r="A4" s="5" t="s">
        <v>104</v>
      </c>
      <c r="B4" s="5" t="s">
        <v>57</v>
      </c>
      <c r="C4" s="6" t="n">
        <f aca="false">COUNTIFS(Matrix!$A$2:$A$46,B4,Matrix!$K$2:$K$46,1)</f>
        <v>7</v>
      </c>
      <c r="D4" s="6" t="n">
        <f aca="false">COUNTIFS(Matrix!$A$2:$A$46,B4,Matrix!$K$2:$K$46,2)</f>
        <v>0</v>
      </c>
      <c r="E4" s="6" t="n">
        <f aca="false">COUNTIFS(Matrix!$A$2:$A$46,B4,Matrix!$K$2:$K$46,3)</f>
        <v>1</v>
      </c>
      <c r="F4" s="6" t="n">
        <f aca="false">SUM(C4:E4)</f>
        <v>8</v>
      </c>
      <c r="G4" s="7" t="n">
        <f aca="false">IF(F4=0,0,E4/F4)</f>
        <v>0.125</v>
      </c>
      <c r="H4" s="8" t="n">
        <f aca="false">IFERROR(AVERAGEIFS(Explanations!$H$2:$H$12,Explanations!$A$2:$A$12,A4,Explanations!$B$2:$B$12,B4),"n/a")</f>
        <v>3</v>
      </c>
    </row>
    <row r="5" customFormat="false" ht="15" hidden="false" customHeight="false" outlineLevel="0" collapsed="false">
      <c r="A5" s="5" t="s">
        <v>105</v>
      </c>
      <c r="B5" s="5" t="s">
        <v>13</v>
      </c>
      <c r="C5" s="6" t="n">
        <f aca="false">COUNTIFS(Matrix!$A$2:$A$46,B5,Matrix!$L$2:$L$46,1)</f>
        <v>4</v>
      </c>
      <c r="D5" s="6" t="n">
        <f aca="false">COUNTIFS(Matrix!$A$2:$A$46,B5,Matrix!$L$2:$L$46,2)</f>
        <v>7</v>
      </c>
      <c r="E5" s="6" t="n">
        <f aca="false">COUNTIFS(Matrix!$A$2:$A$46,B5,Matrix!$L$2:$L$46,3)</f>
        <v>3</v>
      </c>
      <c r="F5" s="6" t="n">
        <f aca="false">SUM(C5:E5)</f>
        <v>14</v>
      </c>
      <c r="G5" s="7" t="n">
        <f aca="false">IF(F5=0,0,E5/F5)</f>
        <v>0.214285714285714</v>
      </c>
      <c r="H5" s="8" t="n">
        <f aca="false">IFERROR(AVERAGEIFS(Explanations!$H$2:$H$12,Explanations!$A$2:$A$12,A5,Explanations!$B$2:$B$12,B5),"n/a")</f>
        <v>3</v>
      </c>
    </row>
    <row r="6" customFormat="false" ht="15" hidden="false" customHeight="false" outlineLevel="0" collapsed="false">
      <c r="A6" s="5" t="s">
        <v>105</v>
      </c>
      <c r="B6" s="5" t="s">
        <v>45</v>
      </c>
      <c r="C6" s="6" t="n">
        <f aca="false">COUNTIFS(Matrix!$A$2:$A$46,B6,Matrix!$L$2:$L$46,1)</f>
        <v>3</v>
      </c>
      <c r="D6" s="6" t="n">
        <f aca="false">COUNTIFS(Matrix!$A$2:$A$46,B6,Matrix!$L$2:$L$46,2)</f>
        <v>0</v>
      </c>
      <c r="E6" s="6" t="n">
        <f aca="false">COUNTIFS(Matrix!$A$2:$A$46,B6,Matrix!$L$2:$L$46,3)</f>
        <v>5</v>
      </c>
      <c r="F6" s="6" t="n">
        <f aca="false">SUM(C6:E6)</f>
        <v>8</v>
      </c>
      <c r="G6" s="7" t="n">
        <f aca="false">IF(F6=0,0,E6/F6)</f>
        <v>0.625</v>
      </c>
      <c r="H6" s="8" t="n">
        <f aca="false">IFERROR(AVERAGEIFS(Explanations!$H$2:$H$12,Explanations!$A$2:$A$12,A6,Explanations!$B$2:$B$12,B6),"n/a")</f>
        <v>3</v>
      </c>
    </row>
    <row r="7" customFormat="false" ht="15" hidden="false" customHeight="false" outlineLevel="0" collapsed="false">
      <c r="A7" s="5" t="s">
        <v>105</v>
      </c>
      <c r="B7" s="5" t="s">
        <v>57</v>
      </c>
      <c r="C7" s="6" t="n">
        <f aca="false">COUNTIFS(Matrix!$A$2:$A$46,B7,Matrix!$L$2:$L$46,1)</f>
        <v>9</v>
      </c>
      <c r="D7" s="6" t="n">
        <f aca="false">COUNTIFS(Matrix!$A$2:$A$46,B7,Matrix!$L$2:$L$46,2)</f>
        <v>1</v>
      </c>
      <c r="E7" s="6" t="n">
        <f aca="false">COUNTIFS(Matrix!$A$2:$A$46,B7,Matrix!$L$2:$L$46,3)</f>
        <v>4</v>
      </c>
      <c r="F7" s="6" t="n">
        <f aca="false">SUM(C7:E7)</f>
        <v>14</v>
      </c>
      <c r="G7" s="7" t="n">
        <f aca="false">IF(F7=0,0,E7/F7)</f>
        <v>0.285714285714286</v>
      </c>
      <c r="H7" s="8" t="n">
        <f aca="false">IFERROR(AVERAGEIFS(Explanations!$H$2:$H$12,Explanations!$A$2:$A$12,A7,Explanations!$B$2:$B$12,B7),"n/a")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7" min="5" style="0" width="12"/>
    <col collapsed="false" customWidth="true" hidden="false" outlineLevel="0" max="8" min="8" style="0" width="9"/>
    <col collapsed="false" customWidth="true" hidden="false" outlineLevel="0" max="9" min="9" style="0" width="90"/>
  </cols>
  <sheetData>
    <row r="1" customFormat="false" ht="45" hidden="false" customHeight="true" outlineLevel="0" collapsed="false">
      <c r="A1" s="1" t="s">
        <v>97</v>
      </c>
      <c r="B1" s="1" t="s">
        <v>0</v>
      </c>
      <c r="C1" s="1" t="s">
        <v>106</v>
      </c>
      <c r="D1" s="1" t="s">
        <v>2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customFormat="false" ht="23.85" hidden="false" customHeight="false" outlineLevel="0" collapsed="false">
      <c r="A2" s="9" t="s">
        <v>104</v>
      </c>
      <c r="B2" s="9" t="s">
        <v>13</v>
      </c>
      <c r="C2" s="10" t="n">
        <v>1</v>
      </c>
      <c r="D2" s="9" t="s">
        <v>17</v>
      </c>
      <c r="E2" s="10" t="n">
        <v>1</v>
      </c>
      <c r="F2" s="10" t="n">
        <v>1</v>
      </c>
      <c r="G2" s="10" t="n">
        <v>1</v>
      </c>
      <c r="H2" s="10" t="n">
        <f aca="false">SUM(E2:G2)</f>
        <v>3</v>
      </c>
      <c r="I2" s="9" t="s">
        <v>112</v>
      </c>
    </row>
    <row r="3" customFormat="false" ht="23.85" hidden="false" customHeight="false" outlineLevel="0" collapsed="false">
      <c r="A3" s="9" t="s">
        <v>104</v>
      </c>
      <c r="B3" s="9" t="s">
        <v>13</v>
      </c>
      <c r="C3" s="10" t="n">
        <v>2</v>
      </c>
      <c r="D3" s="9" t="s">
        <v>113</v>
      </c>
      <c r="E3" s="10" t="n">
        <v>1</v>
      </c>
      <c r="F3" s="10" t="n">
        <v>1</v>
      </c>
      <c r="G3" s="10" t="n">
        <v>1</v>
      </c>
      <c r="H3" s="10" t="n">
        <f aca="false">SUM(E3:G3)</f>
        <v>3</v>
      </c>
      <c r="I3" s="9" t="s">
        <v>114</v>
      </c>
    </row>
    <row r="4" customFormat="false" ht="23.85" hidden="false" customHeight="false" outlineLevel="0" collapsed="false">
      <c r="A4" s="9" t="s">
        <v>104</v>
      </c>
      <c r="B4" s="9" t="s">
        <v>45</v>
      </c>
      <c r="C4" s="10" t="n">
        <v>1</v>
      </c>
      <c r="D4" s="9" t="s">
        <v>48</v>
      </c>
      <c r="E4" s="10" t="n">
        <v>1</v>
      </c>
      <c r="F4" s="10" t="n">
        <v>1</v>
      </c>
      <c r="G4" s="10" t="n">
        <v>1</v>
      </c>
      <c r="H4" s="10" t="n">
        <f aca="false">SUM(E4:G4)</f>
        <v>3</v>
      </c>
      <c r="I4" s="9" t="s">
        <v>115</v>
      </c>
    </row>
    <row r="5" customFormat="false" ht="23.85" hidden="false" customHeight="false" outlineLevel="0" collapsed="false">
      <c r="A5" s="9" t="s">
        <v>104</v>
      </c>
      <c r="B5" s="9" t="s">
        <v>57</v>
      </c>
      <c r="C5" s="10" t="n">
        <v>1</v>
      </c>
      <c r="D5" s="9" t="s">
        <v>116</v>
      </c>
      <c r="E5" s="10" t="n">
        <v>1</v>
      </c>
      <c r="F5" s="10" t="n">
        <v>1</v>
      </c>
      <c r="G5" s="10" t="n">
        <v>1</v>
      </c>
      <c r="H5" s="10" t="n">
        <f aca="false">SUM(E5:G5)</f>
        <v>3</v>
      </c>
      <c r="I5" s="9" t="s">
        <v>117</v>
      </c>
    </row>
    <row r="6" customFormat="false" ht="23.85" hidden="false" customHeight="false" outlineLevel="0" collapsed="false">
      <c r="A6" s="9" t="s">
        <v>104</v>
      </c>
      <c r="B6" s="9" t="s">
        <v>57</v>
      </c>
      <c r="C6" s="10" t="n">
        <v>2</v>
      </c>
      <c r="D6" s="9" t="s">
        <v>118</v>
      </c>
      <c r="E6" s="10" t="n">
        <v>1</v>
      </c>
      <c r="F6" s="10" t="n">
        <v>1</v>
      </c>
      <c r="G6" s="10" t="n">
        <v>1</v>
      </c>
      <c r="H6" s="10" t="n">
        <f aca="false">SUM(E6:G6)</f>
        <v>3</v>
      </c>
      <c r="I6" s="9" t="s">
        <v>119</v>
      </c>
    </row>
    <row r="7" customFormat="false" ht="23.85" hidden="false" customHeight="false" outlineLevel="0" collapsed="false">
      <c r="A7" s="9" t="s">
        <v>105</v>
      </c>
      <c r="B7" s="9" t="s">
        <v>13</v>
      </c>
      <c r="C7" s="10" t="n">
        <v>1</v>
      </c>
      <c r="D7" s="9" t="s">
        <v>17</v>
      </c>
      <c r="E7" s="10" t="n">
        <v>1</v>
      </c>
      <c r="F7" s="10" t="n">
        <v>1</v>
      </c>
      <c r="G7" s="10" t="n">
        <v>1</v>
      </c>
      <c r="H7" s="10" t="n">
        <f aca="false">SUM(E7:G7)</f>
        <v>3</v>
      </c>
      <c r="I7" s="9" t="s">
        <v>120</v>
      </c>
    </row>
    <row r="8" customFormat="false" ht="23.85" hidden="false" customHeight="false" outlineLevel="0" collapsed="false">
      <c r="A8" s="9" t="s">
        <v>105</v>
      </c>
      <c r="B8" s="9" t="s">
        <v>13</v>
      </c>
      <c r="C8" s="10" t="n">
        <v>2</v>
      </c>
      <c r="D8" s="9" t="s">
        <v>121</v>
      </c>
      <c r="E8" s="10" t="n">
        <v>1</v>
      </c>
      <c r="F8" s="10" t="n">
        <v>1</v>
      </c>
      <c r="G8" s="10" t="n">
        <v>1</v>
      </c>
      <c r="H8" s="10" t="n">
        <f aca="false">SUM(E8:G8)</f>
        <v>3</v>
      </c>
      <c r="I8" s="9" t="s">
        <v>122</v>
      </c>
    </row>
    <row r="9" customFormat="false" ht="23.85" hidden="false" customHeight="false" outlineLevel="0" collapsed="false">
      <c r="A9" s="9" t="s">
        <v>105</v>
      </c>
      <c r="B9" s="9" t="s">
        <v>45</v>
      </c>
      <c r="C9" s="10" t="n">
        <v>1</v>
      </c>
      <c r="D9" s="9" t="s">
        <v>46</v>
      </c>
      <c r="E9" s="10" t="n">
        <v>1</v>
      </c>
      <c r="F9" s="10" t="n">
        <v>1</v>
      </c>
      <c r="G9" s="10" t="n">
        <v>1</v>
      </c>
      <c r="H9" s="10" t="n">
        <f aca="false">SUM(E9:G9)</f>
        <v>3</v>
      </c>
      <c r="I9" s="9" t="s">
        <v>123</v>
      </c>
    </row>
    <row r="10" customFormat="false" ht="23.85" hidden="false" customHeight="false" outlineLevel="0" collapsed="false">
      <c r="A10" s="9" t="s">
        <v>105</v>
      </c>
      <c r="B10" s="9" t="s">
        <v>45</v>
      </c>
      <c r="C10" s="10" t="n">
        <v>2</v>
      </c>
      <c r="D10" s="9" t="s">
        <v>47</v>
      </c>
      <c r="E10" s="10" t="n">
        <v>1</v>
      </c>
      <c r="F10" s="10" t="n">
        <v>1</v>
      </c>
      <c r="G10" s="10" t="n">
        <v>1</v>
      </c>
      <c r="H10" s="10" t="n">
        <f aca="false">SUM(E10:G10)</f>
        <v>3</v>
      </c>
      <c r="I10" s="9" t="s">
        <v>124</v>
      </c>
    </row>
    <row r="11" customFormat="false" ht="23.85" hidden="false" customHeight="false" outlineLevel="0" collapsed="false">
      <c r="A11" s="9" t="s">
        <v>105</v>
      </c>
      <c r="B11" s="9" t="s">
        <v>57</v>
      </c>
      <c r="C11" s="10" t="n">
        <v>1</v>
      </c>
      <c r="D11" s="9" t="s">
        <v>121</v>
      </c>
      <c r="E11" s="10" t="n">
        <v>1</v>
      </c>
      <c r="F11" s="10" t="n">
        <v>0</v>
      </c>
      <c r="G11" s="10" t="n">
        <v>0</v>
      </c>
      <c r="H11" s="10" t="n">
        <f aca="false">SUM(E11:G11)</f>
        <v>1</v>
      </c>
      <c r="I11" s="9" t="s">
        <v>125</v>
      </c>
    </row>
    <row r="12" customFormat="false" ht="15" hidden="false" customHeight="false" outlineLevel="0" collapsed="false">
      <c r="A12" s="9" t="s">
        <v>105</v>
      </c>
      <c r="B12" s="9" t="s">
        <v>57</v>
      </c>
      <c r="C12" s="10" t="n">
        <v>2</v>
      </c>
      <c r="D12" s="9" t="s">
        <v>126</v>
      </c>
      <c r="E12" s="10" t="n">
        <v>1</v>
      </c>
      <c r="F12" s="10" t="n">
        <v>1</v>
      </c>
      <c r="G12" s="10" t="n">
        <v>1</v>
      </c>
      <c r="H12" s="10" t="n">
        <f aca="false">SUM(E12:G12)</f>
        <v>3</v>
      </c>
      <c r="I12" s="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1" t="s">
        <v>128</v>
      </c>
    </row>
    <row r="2" customFormat="false" ht="15" hidden="false" customHeight="false" outlineLevel="0" collapsed="false">
      <c r="A2" s="12" t="s">
        <v>129</v>
      </c>
    </row>
    <row r="3" customFormat="false" ht="15" hidden="false" customHeight="false" outlineLevel="0" collapsed="false">
      <c r="A3" s="12" t="s">
        <v>130</v>
      </c>
    </row>
    <row r="4" customFormat="false" ht="23.85" hidden="false" customHeight="false" outlineLevel="0" collapsed="false">
      <c r="A4" s="12" t="s">
        <v>131</v>
      </c>
    </row>
    <row r="5" customFormat="false" ht="15" hidden="false" customHeight="false" outlineLevel="0" collapsed="false">
      <c r="A5" s="12" t="s">
        <v>132</v>
      </c>
    </row>
    <row r="6" customFormat="false" ht="15" hidden="false" customHeight="false" outlineLevel="0" collapsed="false">
      <c r="A6" s="12" t="s">
        <v>133</v>
      </c>
    </row>
    <row r="7" customFormat="false" ht="15" hidden="false" customHeight="false" outlineLevel="0" collapsed="false">
      <c r="A7" s="12" t="s">
        <v>134</v>
      </c>
    </row>
    <row r="8" customFormat="false" ht="15" hidden="false" customHeight="false" outlineLevel="0" collapsed="false">
      <c r="A8" s="12" t="s">
        <v>135</v>
      </c>
    </row>
    <row r="9" customFormat="false" ht="15" hidden="false" customHeight="false" outlineLevel="0" collapsed="false">
      <c r="A9" s="1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2026-10-21T00:09:13Z</dcterms:created>
  <dc:creator>openpyxl</dc:creator>
  <dc:description/>
  <dc:language>en-US</dc:language>
  <cp:lastModifiedBy/>
  <dcterms:modified xsi:type="dcterms:W3CDTF">2026-10-21T00:09:13Z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